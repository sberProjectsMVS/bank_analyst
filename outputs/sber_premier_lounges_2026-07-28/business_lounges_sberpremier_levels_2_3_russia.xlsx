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7fee887f8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ac0ed974d384af5"/>
    <x:sheet xmlns:r="http://schemas.openxmlformats.org/officeDocument/2006/relationships" name="Залы" sheetId="2" r:id="Rf07d63f290fd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20"/>
      <x:color rgb="FFFFFFFF"/>
      <x:name val="Carlito"/>
    </x:font>
    <x:font>
      <x:sz val="11"/>
      <x:color rgb="FF244737"/>
      <x:name val="Carlito"/>
    </x:font>
    <x:font>
      <x:b/>
      <x:sz val="11"/>
      <x:color rgb="FF52645A"/>
      <x:name val="Carlito"/>
    </x:font>
    <x:font>
      <x:b/>
      <x:sz val="16"/>
      <x:color rgb="FF16251D"/>
      <x:name val="Carlito"/>
    </x:font>
    <x:font>
      <x:b/>
      <x:sz val="11"/>
      <x:color rgb="FFFFFFFF"/>
      <x:name val="Carlito"/>
    </x:font>
    <x:font>
      <x:b/>
      <x:sz val="13"/>
      <x:color rgb="FF0F6B45"/>
      <x:name val="Carlito"/>
    </x:font>
    <x:font>
      <x:sz val="11"/>
      <x:color rgb="FF27382F"/>
      <x:name val="Carlito"/>
    </x:font>
    <x:font>
      <x:sz val="11"/>
      <x:color rgb="FF176F4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6B45"/>
      </x:patternFill>
    </x:fill>
    <x:fill>
      <x:patternFill patternType="solid">
        <x:fgColor rgb="FFEAF5EF"/>
      </x:patternFill>
    </x:fill>
    <x:fill>
      <x:patternFill patternType="solid">
        <x:fgColor rgb="FFF3F6F4"/>
      </x:patternFill>
    </x:fill>
    <x:fill>
      <x:patternFill patternType="solid">
        <x:fgColor rgb="FFFFFFFF"/>
      </x:patternFill>
    </x:fill>
    <x:fill>
      <x:patternFill patternType="solid">
        <x:fgColor rgb="FFDDEEE5"/>
      </x:patternFill>
    </x:fill>
    <x:fill>
      <x:patternFill patternType="solid">
        <x:fgColor rgb="FFF8FBF9"/>
      </x:patternFill>
    </x:fill>
  </x:fills>
  <x:borders count="10">
    <x:border/>
    <x:border>
      <x:left style="thin">
        <x:color rgb="FFC8D8CF"/>
      </x:left>
      <x:top style="thin">
        <x:color rgb="FFC8D8CF"/>
      </x:top>
    </x:border>
    <x:border>
      <x:right style="thin">
        <x:color rgb="FFC8D8CF"/>
      </x:right>
      <x:top style="thin">
        <x:color rgb="FFC8D8CF"/>
      </x:top>
    </x:border>
    <x:border>
      <x:left style="thin">
        <x:color rgb="FFC8D8CF"/>
      </x:left>
    </x:border>
    <x:border>
      <x:right style="thin">
        <x:color rgb="FFC8D8CF"/>
      </x:right>
    </x:border>
    <x:border>
      <x:left style="thin">
        <x:color rgb="FFC8D8CF"/>
      </x:left>
      <x:bottom style="thin">
        <x:color rgb="FFC8D8CF"/>
      </x:bottom>
    </x:border>
    <x:border>
      <x:right style="thin">
        <x:color rgb="FFC8D8CF"/>
      </x:right>
      <x:bottom style="thin">
        <x:color rgb="FFC8D8CF"/>
      </x:bottom>
    </x:border>
    <x:border>
      <x:bottom style="thin">
        <x:color rgb="FFE0E8E3"/>
      </x:bottom>
    </x:border>
    <x:border>
      <x:top style="thin">
        <x:color rgb="FFE0E8E3"/>
      </x:top>
      <x:bottom style="thin">
        <x:color rgb="FFE0E8E3"/>
      </x:bottom>
    </x:border>
    <x:border>
      <x:top style="thin">
        <x:color rgb="FFE0E8E3"/>
      </x:top>
      <x:bottom style="thin">
        <x:color rgb="FFC8D8CF"/>
      </x:bottom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0" fillId="5" borderId="4" xfId="0" applyNumberFormat="1" applyFont="1" applyFill="1" applyBorder="1"/>
    <x:xf numFmtId="200" fontId="0" fillId="5" borderId="6" xfId="0" applyNumberFormat="1" applyFont="1" applyFill="1" applyBorder="1"/>
    <x:xf numFmtId="0" fontId="0" fillId="5" borderId="4" xfId="0" applyNumberFormat="1" applyFont="1" applyFill="1" applyBorder="1" applyAlignment="1">
      <x:alignment horizontal="center"/>
    </x:xf>
    <x:xf numFmtId="200" fontId="0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horizontal="center" vertical="top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horizontal="center" vertical="top"/>
    </x:xf>
    <x:xf numFmtId="0" fontId="0" fillId="0" borderId="9" xfId="0" applyNumberFormat="1" applyFont="1" applyFill="1" applyBorder="1" applyAlignment="1">
      <x:alignment horizontal="center"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">
    <x:dxf>
      <x:font>
        <x:b/>
        <x:color rgb="FFA33B32"/>
      </x:font>
      <x:fill>
        <x:patternFill patternType="solid">
          <x:bgColor rgb="FFFCE8E6"/>
        </x:patternFill>
      </x:fill>
    </x:dxf>
    <x:dxf>
      <x:font>
        <x:color rgb="FF176F48"/>
      </x:font>
      <x:fill>
        <x:patternFill patternType="solid">
          <x:bgColor rgb="FFE7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2431562ba4e55" /><Relationship Type="http://schemas.openxmlformats.org/officeDocument/2006/relationships/theme" Target="/xl/theme/theme1.xml" Id="R0657e434ce1941b8" /><Relationship Type="http://schemas.openxmlformats.org/officeDocument/2006/relationships/sharedStrings" Target="/xl/sharedStrings.xml" Id="R495953a7411b4c12" /><Relationship Type="http://schemas.openxmlformats.org/officeDocument/2006/relationships/worksheet" Target="/xl/worksheets/sheet1.xml" Id="Rfac0ed974d384af5" /><Relationship Type="http://schemas.openxmlformats.org/officeDocument/2006/relationships/worksheet" Target="/xl/worksheets/sheet2.xml" Id="Rf07d63f290fd45ba" /></Relationships>
</file>

<file path=xl/tables/table1.xml><?xml version="1.0" encoding="utf-8"?>
<x:table xmlns:x="http://schemas.openxmlformats.org/spreadsheetml/2006/main" id="1" name="SberPremierLounges" displayName="SberPremierLounges" ref="A1:Q104" headerRowCount="1" totalsRowCount="0" totalsRowShown="0">
  <x:autoFilter ref="A1:Q104"/>
  <x:tableColumns count="17">
    <x:tableColumn id="1" name="№"/>
    <x:tableColumn id="2" name="Город"/>
    <x:tableColumn id="3" name="Код"/>
    <x:tableColumn id="4" name="Транспортный узел"/>
    <x:tableColumn id="5" name="Тип узла"/>
    <x:tableColumn id="6" name="Бизнес-зал"/>
    <x:tableColumn id="7" name="Терминал"/>
    <x:tableColumn id="8" name="Этаж"/>
    <x:tableColumn id="9" name="Тип рейса"/>
    <x:tableColumn id="10" name="Сервис"/>
    <x:tableColumn id="11" name="Режим работы"/>
    <x:tableColumn id="12" name="Адрес"/>
    <x:tableColumn id="13" name="Уровни"/>
    <x:tableColumn id="14" name="Статус"/>
    <x:tableColumn id="15" name="ID"/>
    <x:tableColumn id="16" name="Официальная карточка"/>
    <x:tableColumn id="17" name="Проверено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1f0a0b1e6b41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3" hidden="0" customWidth="1"/>
    <x:col min="4" max="4" width="21" hidden="0" customWidth="1"/>
    <x:col min="5" max="5" width="20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4" t="str">
        <x:v>Бизнес-залы СберПремьер в России</x:v>
      </x:c>
      <x:c r="B1" s="4"/>
      <x:c r="C1" s="4"/>
      <x:c r="D1" s="4"/>
      <x:c r="E1" s="4"/>
      <x:c r="F1" s="4"/>
      <x:c r="G1" s="4"/>
      <x:c r="H1" s="4"/>
    </x:row>
    <x:row r="2" ht="28" customHeight="1">
      <x:c r="A2" s="7" t="str">
        <x:v>Официальный перечень для 2-го и 3-го уровней. Срез на 28 июля 2026 года.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В каталоге</x:v>
      </x:c>
      <x:c r="B4" s="14" t="n">
        <x:f>COUNTA('Залы'!A2:A104)</x:f>
        <x:v>103</x:v>
      </x:c>
      <x:c r="D4" s="29" t="str">
        <x:v>Уровень 2</x:v>
      </x:c>
      <x:c r="E4" s="30" t="str">
        <x:v>Уровень 3</x:v>
      </x:c>
    </x:row>
    <x:row r="5">
      <x:c r="A5" s="15" t="str">
        <x:v>Открыты</x:v>
      </x:c>
      <x:c r="B5" s="16" t="n">
        <x:f>COUNTIF('Залы'!N2:N104,"Открыт")</x:f>
        <x:v>101</x:v>
      </x:c>
      <x:c r="D5" s="15" t="str">
        <x:v>Россия</x:v>
      </x:c>
      <x:c r="E5" s="35" t="str">
        <x:v>Россия и зарубежье</x:v>
      </x:c>
    </x:row>
    <x:row r="6">
      <x:c r="A6" s="15" t="str">
        <x:v>Временно закрыты</x:v>
      </x:c>
      <x:c r="B6" s="16" t="n">
        <x:f>COUNTIF('Залы'!N2:N104,"Временно закрыт")</x:f>
        <x:v>2</x:v>
      </x:c>
      <x:c r="D6" s="15" t="str">
        <x:v>Российских залов</x:v>
      </x:c>
      <x:c r="E6" s="35" t="n">
        <x:f>'Сводка'!B4</x:f>
        <x:v>103</x:v>
      </x:c>
    </x:row>
    <x:row r="7">
      <x:c r="A7" s="15" t="str">
        <x:v>Городов</x:v>
      </x:c>
      <x:c r="B7" s="16" t="n">
        <x:v>56</x:v>
      </x:c>
      <x:c r="D7" s="15" t="str">
        <x:v>Состав в России</x:v>
      </x:c>
      <x:c r="E7" s="35" t="str">
        <x:v>Совпадает</x:v>
      </x:c>
    </x:row>
    <x:row r="8">
      <x:c r="A8" s="17" t="str">
        <x:v>Транспортных узлов</x:v>
      </x:c>
      <x:c r="B8" s="18" t="n">
        <x:v>68</x:v>
      </x:c>
      <x:c r="D8" s="17" t="str">
        <x:v>Проверено</x:v>
      </x:c>
      <x:c r="E8" s="36" t="n">
        <x:v>46231</x:v>
      </x:c>
    </x:row>
    <x:row r="10">
      <x:c r="A10" s="38" t="str">
        <x:v>Что важно</x:v>
      </x:c>
      <x:c r="B10" s="38"/>
      <x:c r="C10" s="38"/>
      <x:c r="D10" s="38"/>
      <x:c r="E10" s="38"/>
      <x:c r="F10" s="38"/>
      <x:c r="G10" s="38"/>
      <x:c r="H10" s="38"/>
    </x:row>
    <x:row r="11" ht="34" customHeight="1">
      <x:c r="A11" s="42" t="str">
        <x:v>Для российских залов официальный каталог возвращает один и тот же перечень для СберПремьер 2-го и 3-го уровней. Различаются количество проходов и зарубежная география 3-го уровня.</x:v>
      </x:c>
      <x:c r="B11" s="42"/>
      <x:c r="C11" s="42"/>
      <x:c r="D11" s="42"/>
      <x:c r="E11" s="42"/>
      <x:c r="F11" s="42"/>
      <x:c r="G11" s="42"/>
      <x:c r="H11" s="42"/>
    </x:row>
    <x:row r="12" ht="34" customHeight="1">
      <x:c r="A12" s="42" t="str">
        <x:v>В каталоге 103 позиции: 101 открыта, 2 помечены оператором как временно закрытые. Закрытые позиции сохранены в таблице и выделены цветом.</x:v>
      </x:c>
      <x:c r="B12" s="42"/>
      <x:c r="C12" s="42"/>
      <x:c r="D12" s="42"/>
      <x:c r="E12" s="42"/>
      <x:c r="F12" s="42"/>
      <x:c r="G12" s="42"/>
      <x:c r="H12" s="42"/>
    </x:row>
    <x:row r="13" ht="34" customHeight="1">
      <x:c r="A13" s="42" t="str">
        <x:v>Каталог оператора обновлён 2026-07-22; проверка выполнена 2026-07-28. Состав может меняться без предварительного уведомления.</x:v>
      </x:c>
      <x:c r="B13" s="42"/>
      <x:c r="C13" s="42"/>
      <x:c r="D13" s="42"/>
      <x:c r="E13" s="42"/>
      <x:c r="F13" s="42"/>
      <x:c r="G13" s="42"/>
      <x:c r="H13" s="42"/>
    </x:row>
    <x:row r="15">
      <x:c r="A15" s="38" t="str">
        <x:v>Официальные источники</x:v>
      </x:c>
      <x:c r="B15" s="38"/>
      <x:c r="C15" s="38"/>
      <x:c r="D15" s="38"/>
      <x:c r="E15" s="38"/>
      <x:c r="F15" s="38"/>
      <x:c r="G15" s="38"/>
      <x:c r="H15" s="38"/>
    </x:row>
    <x:row r="16">
      <x:c r="A16" s="44" t="str">
        <x:v>https://mir.pass.nspk.ru/sber/ru</x:v>
      </x:c>
      <x:c r="B16" s="44"/>
      <x:c r="C16" s="44"/>
      <x:c r="D16" s="44"/>
      <x:c r="E16" s="44"/>
      <x:c r="F16" s="44"/>
      <x:c r="G16" s="44"/>
      <x:c r="H16" s="44"/>
    </x:row>
    <x:row r="17">
      <x:c r="A17" s="44" t="str">
        <x:v>https://mir.pass.nspk.ru/sber-pass/api/v1/typeReference/loungeList?locale=ru&amp;countryCode=RUS&amp;dateTime=2026-07-28T12%3A00&amp;productId=programm6</x:v>
      </x:c>
      <x:c r="B17" s="44"/>
      <x:c r="C17" s="44"/>
      <x:c r="D17" s="44"/>
      <x:c r="E17" s="44"/>
      <x:c r="F17" s="44"/>
      <x:c r="G17" s="44"/>
      <x:c r="H17" s="44"/>
    </x:row>
  </x:sheetData>
  <x:mergeCells>
    <x:mergeCell ref="A1:H1"/>
    <x:mergeCell ref="A2:H2"/>
    <x:mergeCell ref="A10:H10"/>
    <x:mergeCell ref="A11:H11"/>
    <x:mergeCell ref="A12:H12"/>
    <x:mergeCell ref="A13:H13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9" hidden="0" customWidth="1"/>
    <x:col min="4" max="4" width="25" hidden="0" customWidth="1"/>
    <x:col min="5" max="5" width="14" hidden="0" customWidth="1"/>
    <x:col min="6" max="6" width="28" hidden="0" customWidth="1"/>
    <x:col min="7" max="7" width="11" hidden="0" customWidth="1"/>
    <x:col min="8" max="8" width="11" hidden="0" customWidth="1"/>
    <x:col min="9" max="9" width="17" hidden="0" customWidth="1"/>
    <x:col min="10" max="10" width="18" hidden="0" customWidth="1"/>
    <x:col min="11" max="11" width="18" hidden="0" customWidth="1"/>
    <x:col min="12" max="12" width="48" hidden="0" customWidth="1"/>
    <x:col min="13" max="13" width="18" hidden="0" customWidth="1"/>
    <x:col min="14" max="14" width="18" hidden="0" customWidth="1"/>
    <x:col min="15" max="15" width="9" hidden="0" customWidth="1"/>
    <x:col min="16" max="16" width="40" hidden="0" customWidth="1"/>
    <x:col min="17" max="17" width="13" hidden="0" customWidth="1"/>
  </x:cols>
  <x:sheetData>
    <x:row r="1" ht="32" customHeight="1">
      <x:c r="A1" s="56" t="str">
        <x:v>№</x:v>
      </x:c>
      <x:c r="B1" s="56" t="str">
        <x:v>Город</x:v>
      </x:c>
      <x:c r="C1" s="56" t="str">
        <x:v>Код</x:v>
      </x:c>
      <x:c r="D1" s="56" t="str">
        <x:v>Транспортный узел</x:v>
      </x:c>
      <x:c r="E1" s="56" t="str">
        <x:v>Тип узла</x:v>
      </x:c>
      <x:c r="F1" s="56" t="str">
        <x:v>Бизнес-зал</x:v>
      </x:c>
      <x:c r="G1" s="56" t="str">
        <x:v>Терминал</x:v>
      </x:c>
      <x:c r="H1" s="56" t="str">
        <x:v>Этаж</x:v>
      </x:c>
      <x:c r="I1" s="56" t="str">
        <x:v>Тип рейса</x:v>
      </x:c>
      <x:c r="J1" s="56" t="str">
        <x:v>Сервис</x:v>
      </x:c>
      <x:c r="K1" s="56" t="str">
        <x:v>Режим работы</x:v>
      </x:c>
      <x:c r="L1" s="56" t="str">
        <x:v>Адрес</x:v>
      </x:c>
      <x:c r="M1" s="56" t="str">
        <x:v>Уровни</x:v>
      </x:c>
      <x:c r="N1" s="56" t="str">
        <x:v>Статус</x:v>
      </x:c>
      <x:c r="O1" s="56" t="str">
        <x:v>ID</x:v>
      </x:c>
      <x:c r="P1" s="56" t="str">
        <x:v>Официальная карточка</x:v>
      </x:c>
      <x:c r="Q1" s="56" t="str">
        <x:v>Проверено</x:v>
      </x:c>
    </x:row>
    <x:row r="2">
      <x:c r="A2" s="57" t="n">
        <x:v>1</x:v>
      </x:c>
      <x:c r="B2" s="58" t="str">
        <x:v>Абакан</x:v>
      </x:c>
      <x:c r="C2" s="57" t="str">
        <x:v>АВА</x:v>
      </x:c>
      <x:c r="D2" s="59" t="str">
        <x:v>Абакан</x:v>
      </x:c>
      <x:c r="E2" s="58" t="str">
        <x:v>Аэропорт</x:v>
      </x:c>
      <x:c r="F2" s="59" t="str">
        <x:v>Зал повышенной комфортности</x:v>
      </x:c>
      <x:c r="G2" s="57" t="str">
        <x:v>—</x:v>
      </x:c>
      <x:c r="H2" s="57" t="str">
        <x:v>1</x:v>
      </x:c>
      <x:c r="I2" s="57" t="str">
        <x:v>Внутренний</x:v>
      </x:c>
      <x:c r="J2" s="57" t="str">
        <x:v>ON·PASS</x:v>
      </x:c>
      <x:c r="K2" s="59" t="str">
        <x:v>05.00 - 17.00</x:v>
      </x:c>
      <x:c r="L2" s="59" t="str">
        <x:v>Зона до паспортного контроля. Зал повышенной комфортности расположен на 1-м этаже с правой стороны после входа в аэровокзал. Только для пассажиров внутренних рейсов.</x:v>
      </x:c>
      <x:c r="M2" s="57" t="str">
        <x:v>2 и 3</x:v>
      </x:c>
      <x:c r="N2" s="57" t="str">
        <x:v>Открыт</x:v>
      </x:c>
      <x:c r="O2" s="57" t="n">
        <x:v>162</x:v>
      </x:c>
      <x:c r="P2" s="60" t="str">
        <x:v>https://mir.pass.nspk.ru/sber/ru/lounges?airportCode=%D0%90%D0%92%D0%90&amp;loungeId=162&amp;package=programm6</x:v>
      </x:c>
      <x:c r="Q2" s="61" t="n">
        <x:v>46231</x:v>
      </x:c>
    </x:row>
    <x:row r="3">
      <x:c r="A3" s="57" t="n">
        <x:v>2</x:v>
      </x:c>
      <x:c r="B3" s="58" t="str">
        <x:v>Анадырь</x:v>
      </x:c>
      <x:c r="C3" s="57" t="str">
        <x:v>DYR</x:v>
      </x:c>
      <x:c r="D3" s="59" t="str">
        <x:v>Анадырь</x:v>
      </x:c>
      <x:c r="E3" s="58" t="str">
        <x:v>Аэропорт</x:v>
      </x:c>
      <x:c r="F3" s="59" t="str">
        <x:v>Зал повышенного комфорта</x:v>
      </x:c>
      <x:c r="G3" s="57" t="str">
        <x:v>—</x:v>
      </x:c>
      <x:c r="H3" s="57" t="str">
        <x:v>2</x:v>
      </x:c>
      <x:c r="I3" s="57" t="str">
        <x:v>Внутренний</x:v>
      </x:c>
      <x:c r="J3" s="57" t="str">
        <x:v>ON·PASS</x:v>
      </x:c>
      <x:c r="K3" s="59" t="str">
        <x:v>Согласно регламенту работы аэропорта</x:v>
      </x:c>
      <x:c r="L3" s="59" t="str">
        <x:v>2-й этаж, зал ожидания в зоне вылета
✈️ Для пассажиров внутренних воздушных линий</x:v>
      </x:c>
      <x:c r="M3" s="57" t="str">
        <x:v>2 и 3</x:v>
      </x:c>
      <x:c r="N3" s="57" t="str">
        <x:v>Открыт</x:v>
      </x:c>
      <x:c r="O3" s="57" t="n">
        <x:v>258</x:v>
      </x:c>
      <x:c r="P3" s="60" t="str">
        <x:v>https://mir.pass.nspk.ru/sber/ru/lounges?airportCode=DYR&amp;loungeId=258&amp;package=programm6</x:v>
      </x:c>
      <x:c r="Q3" s="61" t="n">
        <x:v>46231</x:v>
      </x:c>
    </x:row>
    <x:row r="4">
      <x:c r="A4" s="57" t="n">
        <x:v>3</x:v>
      </x:c>
      <x:c r="B4" s="58" t="str">
        <x:v>Анадырь</x:v>
      </x:c>
      <x:c r="C4" s="57" t="str">
        <x:v>DYR</x:v>
      </x:c>
      <x:c r="D4" s="59" t="str">
        <x:v>Анадырь</x:v>
      </x:c>
      <x:c r="E4" s="58" t="str">
        <x:v>Аэропорт</x:v>
      </x:c>
      <x:c r="F4" s="59" t="str">
        <x:v>Зал повышенного комфорта</x:v>
      </x:c>
      <x:c r="G4" s="57" t="str">
        <x:v>—</x:v>
      </x:c>
      <x:c r="H4" s="57" t="str">
        <x:v>2</x:v>
      </x:c>
      <x:c r="I4" s="57" t="str">
        <x:v>Внутренний</x:v>
      </x:c>
      <x:c r="J4" s="57" t="str">
        <x:v>ON·PASS</x:v>
      </x:c>
      <x:c r="K4" s="59" t="str">
        <x:v>Согласно регламенту работы аэропорта</x:v>
      </x:c>
      <x:c r="L4" s="59" t="str">
        <x:v>2-й этаж, зал ожидания в зоне вылета
✈️ Для пассажиров внутренних воздушных линий</x:v>
      </x:c>
      <x:c r="M4" s="57" t="str">
        <x:v>2 и 3</x:v>
      </x:c>
      <x:c r="N4" s="57" t="str">
        <x:v>Открыт</x:v>
      </x:c>
      <x:c r="O4" s="57" t="n">
        <x:v>257</x:v>
      </x:c>
      <x:c r="P4" s="60" t="str">
        <x:v>https://mir.pass.nspk.ru/sber/ru/lounges?airportCode=DYR&amp;loungeId=257&amp;package=programm6</x:v>
      </x:c>
      <x:c r="Q4" s="61" t="n">
        <x:v>46231</x:v>
      </x:c>
    </x:row>
    <x:row r="5">
      <x:c r="A5" s="57" t="n">
        <x:v>4</x:v>
      </x:c>
      <x:c r="B5" s="58" t="str">
        <x:v>Апатиты</x:v>
      </x:c>
      <x:c r="C5" s="57" t="str">
        <x:v>KVK</x:v>
      </x:c>
      <x:c r="D5" s="59" t="str">
        <x:v>Хибины</x:v>
      </x:c>
      <x:c r="E5" s="58" t="str">
        <x:v>Аэропорт</x:v>
      </x:c>
      <x:c r="F5" s="59" t="str">
        <x:v>Бизнес-зал</x:v>
      </x:c>
      <x:c r="G5" s="57" t="str">
        <x:v>—</x:v>
      </x:c>
      <x:c r="H5" s="57" t="str">
        <x:v>1</x:v>
      </x:c>
      <x:c r="I5" s="57" t="str">
        <x:v>Внутренний</x:v>
      </x:c>
      <x:c r="J5" s="57" t="str">
        <x:v>ON·PASS</x:v>
      </x:c>
      <x:c r="K5" s="59" t="str">
        <x:v>Согласно регламенту работы аэропорта (за 2 часа до рейса)</x:v>
      </x:c>
      <x:c r="L5" s="59" t="str">
        <x:v>1-й этаж, зал ожидания в зоне вылета
✈️  Для пассажиров внутренних воздушных линий</x:v>
      </x:c>
      <x:c r="M5" s="57" t="str">
        <x:v>2 и 3</x:v>
      </x:c>
      <x:c r="N5" s="57" t="str">
        <x:v>Открыт</x:v>
      </x:c>
      <x:c r="O5" s="57" t="n">
        <x:v>163</x:v>
      </x:c>
      <x:c r="P5" s="60" t="str">
        <x:v>https://mir.pass.nspk.ru/sber/ru/lounges?airportCode=KVK&amp;loungeId=163&amp;package=programm6</x:v>
      </x:c>
      <x:c r="Q5" s="61" t="n">
        <x:v>46231</x:v>
      </x:c>
    </x:row>
    <x:row r="6">
      <x:c r="A6" s="57" t="n">
        <x:v>5</x:v>
      </x:c>
      <x:c r="B6" s="58" t="str">
        <x:v>Архангельск</x:v>
      </x:c>
      <x:c r="C6" s="57" t="str">
        <x:v>ARH</x:v>
      </x:c>
      <x:c r="D6" s="59" t="str">
        <x:v>Талаги</x:v>
      </x:c>
      <x:c r="E6" s="58" t="str">
        <x:v>Аэропорт</x:v>
      </x:c>
      <x:c r="F6" s="59" t="str">
        <x:v>Бизнес-зал</x:v>
      </x:c>
      <x:c r="G6" s="57" t="str">
        <x:v>—</x:v>
      </x:c>
      <x:c r="H6" s="57" t="str">
        <x:v>2</x:v>
      </x:c>
      <x:c r="I6" s="57" t="str">
        <x:v>Внутренний</x:v>
      </x:c>
      <x:c r="J6" s="57" t="str">
        <x:v>ON·PASS Premium</x:v>
      </x:c>
      <x:c r="K6" s="59" t="str">
        <x:v>Круглосуточно</x:v>
      </x:c>
      <x:c r="L6" s="59" t="str">
        <x:v>Павильон №3, 2-й этаж, зал ожидания в зоне вылета
✈️ Для пассажиров внутренних воздушных линий</x:v>
      </x:c>
      <x:c r="M6" s="57" t="str">
        <x:v>2 и 3</x:v>
      </x:c>
      <x:c r="N6" s="57" t="str">
        <x:v>Открыт</x:v>
      </x:c>
      <x:c r="O6" s="57" t="n">
        <x:v>271</x:v>
      </x:c>
      <x:c r="P6" s="60" t="str">
        <x:v>https://mir.pass.nspk.ru/sber/ru/lounges?airportCode=ARH&amp;loungeId=271&amp;package=programm6</x:v>
      </x:c>
      <x:c r="Q6" s="61" t="n">
        <x:v>46231</x:v>
      </x:c>
    </x:row>
    <x:row r="7">
      <x:c r="A7" s="57" t="n">
        <x:v>6</x:v>
      </x:c>
      <x:c r="B7" s="58" t="str">
        <x:v>Архангельск</x:v>
      </x:c>
      <x:c r="C7" s="57" t="str">
        <x:v>ARH</x:v>
      </x:c>
      <x:c r="D7" s="59" t="str">
        <x:v>Талаги</x:v>
      </x:c>
      <x:c r="E7" s="58" t="str">
        <x:v>Аэропорт</x:v>
      </x:c>
      <x:c r="F7" s="59" t="str">
        <x:v>Лаунж зона SKY LOUNGE</x:v>
      </x:c>
      <x:c r="G7" s="57" t="str">
        <x:v>—</x:v>
      </x:c>
      <x:c r="H7" s="57" t="str">
        <x:v>1</x:v>
      </x:c>
      <x:c r="I7" s="57" t="str">
        <x:v>Внутренний</x:v>
      </x:c>
      <x:c r="J7" s="57" t="str">
        <x:v>ON·PASS</x:v>
      </x:c>
      <x:c r="K7" s="59" t="str">
        <x:v>05:30 – 21:00</x:v>
      </x:c>
      <x:c r="L7" s="59" t="str">
        <x:v>Павильон №3, 1-й этаж
✈️ Для пассажиров внутренних воздушных линий</x:v>
      </x:c>
      <x:c r="M7" s="57" t="str">
        <x:v>2 и 3</x:v>
      </x:c>
      <x:c r="N7" s="57" t="str">
        <x:v>Открыт</x:v>
      </x:c>
      <x:c r="O7" s="57" t="n">
        <x:v>164</x:v>
      </x:c>
      <x:c r="P7" s="60" t="str">
        <x:v>https://mir.pass.nspk.ru/sber/ru/lounges?airportCode=ARH&amp;loungeId=164&amp;package=programm6</x:v>
      </x:c>
      <x:c r="Q7" s="61" t="n">
        <x:v>46231</x:v>
      </x:c>
    </x:row>
    <x:row r="8">
      <x:c r="A8" s="57" t="n">
        <x:v>7</x:v>
      </x:c>
      <x:c r="B8" s="58" t="str">
        <x:v>Астрахань</x:v>
      </x:c>
      <x:c r="C8" s="57" t="str">
        <x:v>ASF</x:v>
      </x:c>
      <x:c r="D8" s="59" t="str">
        <x:v>Нариманово</x:v>
      </x:c>
      <x:c r="E8" s="58" t="str">
        <x:v>Аэропорт</x:v>
      </x:c>
      <x:c r="F8" s="59" t="str">
        <x:v>Зал повышенной комфортности</x:v>
      </x:c>
      <x:c r="G8" s="57" t="str">
        <x:v>—</x:v>
      </x:c>
      <x:c r="H8" s="57" t="str">
        <x:v>2</x:v>
      </x:c>
      <x:c r="I8" s="57" t="str">
        <x:v>Внутренний</x:v>
      </x:c>
      <x:c r="J8" s="57" t="str">
        <x:v>ON·PASS</x:v>
      </x:c>
      <x:c r="K8" s="59" t="str">
        <x:v>Круглосуточно</x:v>
      </x:c>
      <x:c r="L8" s="59" t="str">
        <x:v>Зал повышенной комфортности расположен после зоны досмотра пассажиров с правой стороны</x:v>
      </x:c>
      <x:c r="M8" s="57" t="str">
        <x:v>2 и 3</x:v>
      </x:c>
      <x:c r="N8" s="57" t="str">
        <x:v>Открыт</x:v>
      </x:c>
      <x:c r="O8" s="57" t="n">
        <x:v>187</x:v>
      </x:c>
      <x:c r="P8" s="60" t="str">
        <x:v>https://mir.pass.nspk.ru/sber/ru/lounges?airportCode=ASF&amp;loungeId=187&amp;package=programm6</x:v>
      </x:c>
      <x:c r="Q8" s="61" t="n">
        <x:v>46231</x:v>
      </x:c>
    </x:row>
    <x:row r="9">
      <x:c r="A9" s="57" t="n">
        <x:v>8</x:v>
      </x:c>
      <x:c r="B9" s="58" t="str">
        <x:v>Барнаул</x:v>
      </x:c>
      <x:c r="C9" s="57" t="str">
        <x:v>BAX</x:v>
      </x:c>
      <x:c r="D9" s="59" t="str">
        <x:v>Барнаул</x:v>
      </x:c>
      <x:c r="E9" s="58" t="str">
        <x:v>Аэропорт</x:v>
      </x:c>
      <x:c r="F9" s="59" t="str">
        <x:v>Бизнес-зал</x:v>
      </x:c>
      <x:c r="G9" s="57" t="str">
        <x:v>—</x:v>
      </x:c>
      <x:c r="H9" s="57" t="str">
        <x:v>2</x:v>
      </x:c>
      <x:c r="I9" s="57" t="str">
        <x:v>Внутренний</x:v>
      </x:c>
      <x:c r="J9" s="57" t="str">
        <x:v>ON·PASS</x:v>
      </x:c>
      <x:c r="K9" s="59" t="str">
        <x:v>Круглосуточно</x:v>
      </x:c>
      <x:c r="L9" s="59" t="str">
        <x:v>Бизнес-зал расположен на 2-м этаже с правой стороны. Только для пассажиров внутренних воздушных линий.</x:v>
      </x:c>
      <x:c r="M9" s="57" t="str">
        <x:v>2 и 3</x:v>
      </x:c>
      <x:c r="N9" s="57" t="str">
        <x:v>Открыт</x:v>
      </x:c>
      <x:c r="O9" s="57" t="n">
        <x:v>165</x:v>
      </x:c>
      <x:c r="P9" s="60" t="str">
        <x:v>https://mir.pass.nspk.ru/sber/ru/lounges?airportCode=BAX&amp;loungeId=165&amp;package=programm6</x:v>
      </x:c>
      <x:c r="Q9" s="61" t="n">
        <x:v>46231</x:v>
      </x:c>
    </x:row>
    <x:row r="10">
      <x:c r="A10" s="57" t="n">
        <x:v>9</x:v>
      </x:c>
      <x:c r="B10" s="58" t="str">
        <x:v>Благовещенск</x:v>
      </x:c>
      <x:c r="C10" s="57" t="str">
        <x:v>BQS</x:v>
      </x:c>
      <x:c r="D10" s="59" t="str">
        <x:v>Игнатьево</x:v>
      </x:c>
      <x:c r="E10" s="58" t="str">
        <x:v>Аэропорт</x:v>
      </x:c>
      <x:c r="F10" s="59" t="str">
        <x:v>Бизнес-зал</x:v>
      </x:c>
      <x:c r="G10" s="57" t="str">
        <x:v>—</x:v>
      </x:c>
      <x:c r="H10" s="57" t="str">
        <x:v>1</x:v>
      </x:c>
      <x:c r="I10" s="57" t="str">
        <x:v>Внутренний</x:v>
      </x:c>
      <x:c r="J10" s="57" t="str">
        <x:v>ON·PASS</x:v>
      </x:c>
      <x:c r="K10" s="59" t="str">
        <x:v>с 04:30 до 16:30</x:v>
      </x:c>
      <x:c r="L10" s="59" t="str">
        <x:v>Зона после входа в аэровокзал. Бизнес-зал расположен на 1-м этаже с левой стороны, напротив зала выдачи багажа</x:v>
      </x:c>
      <x:c r="M10" s="57" t="str">
        <x:v>2 и 3</x:v>
      </x:c>
      <x:c r="N10" s="57" t="str">
        <x:v>Открыт</x:v>
      </x:c>
      <x:c r="O10" s="57" t="n">
        <x:v>166</x:v>
      </x:c>
      <x:c r="P10" s="60" t="str">
        <x:v>https://mir.pass.nspk.ru/sber/ru/lounges?airportCode=BQS&amp;loungeId=166&amp;package=programm6</x:v>
      </x:c>
      <x:c r="Q10" s="61" t="n">
        <x:v>46231</x:v>
      </x:c>
    </x:row>
    <x:row r="11">
      <x:c r="A11" s="57" t="n">
        <x:v>10</x:v>
      </x:c>
      <x:c r="B11" s="58" t="str">
        <x:v>Владивосток</x:v>
      </x:c>
      <x:c r="C11" s="57" t="str">
        <x:v>VLD</x:v>
      </x:c>
      <x:c r="D11" s="59" t="str">
        <x:v>Железнодорожный вокзал Владивосток</x:v>
      </x:c>
      <x:c r="E11" s="58" t="str">
        <x:v>Аэропорт</x:v>
      </x:c>
      <x:c r="F11" s="59" t="str">
        <x:v>Бизнес-зал</x:v>
      </x:c>
      <x:c r="G11" s="57" t="str">
        <x:v>—</x:v>
      </x:c>
      <x:c r="H11" s="57" t="str">
        <x:v>1</x:v>
      </x:c>
      <x:c r="I11" s="57" t="str">
        <x:v>Внутренний</x:v>
      </x:c>
      <x:c r="J11" s="57" t="str">
        <x:v>ON·PASS</x:v>
      </x:c>
      <x:c r="K11" s="59" t="str">
        <x:v>Круглосуточно</x:v>
      </x:c>
      <x:c r="L11" s="59" t="str">
        <x:v>Бизнес-зал расположен на 1 этаже вокзала</x:v>
      </x:c>
      <x:c r="M11" s="57" t="str">
        <x:v>2 и 3</x:v>
      </x:c>
      <x:c r="N11" s="57" t="str">
        <x:v>Открыт</x:v>
      </x:c>
      <x:c r="O11" s="57" t="n">
        <x:v>323</x:v>
      </x:c>
      <x:c r="P11" s="60" t="str">
        <x:v>https://mir.pass.nspk.ru/sber/ru/lounges?airportCode=VLD&amp;loungeId=323&amp;package=programm6</x:v>
      </x:c>
      <x:c r="Q11" s="61" t="n">
        <x:v>46231</x:v>
      </x:c>
    </x:row>
    <x:row r="12">
      <x:c r="A12" s="57" t="n">
        <x:v>11</x:v>
      </x:c>
      <x:c r="B12" s="58" t="str">
        <x:v>Владивосток</x:v>
      </x:c>
      <x:c r="C12" s="57" t="str">
        <x:v>VVO</x:v>
      </x:c>
      <x:c r="D12" s="59" t="str">
        <x:v>Кневичи</x:v>
      </x:c>
      <x:c r="E12" s="58" t="str">
        <x:v>Аэропорт</x:v>
      </x:c>
      <x:c r="F12" s="59" t="str">
        <x:v>Лагуна</x:v>
      </x:c>
      <x:c r="G12" s="57" t="str">
        <x:v>—</x:v>
      </x:c>
      <x:c r="H12" s="57" t="str">
        <x:v>3</x:v>
      </x:c>
      <x:c r="I12" s="57" t="str">
        <x:v>Внутренний</x:v>
      </x:c>
      <x:c r="J12" s="57" t="str">
        <x:v>ON·PASS</x:v>
      </x:c>
      <x:c r="K12" s="59" t="str">
        <x:v>Круглосуточно</x:v>
      </x:c>
      <x:c r="L12" s="59" t="str">
        <x:v>Зал повышенной комфортности расположен на 3-м этаже Терминала А в чистой зоне вылета внутренних рейсов, рядом с выходом на посадку 6.</x:v>
      </x:c>
      <x:c r="M12" s="57" t="str">
        <x:v>2 и 3</x:v>
      </x:c>
      <x:c r="N12" s="57" t="str">
        <x:v>Открыт</x:v>
      </x:c>
      <x:c r="O12" s="57" t="n">
        <x:v>80</x:v>
      </x:c>
      <x:c r="P12" s="60" t="str">
        <x:v>https://mir.pass.nspk.ru/sber/ru/lounges?airportCode=VVO&amp;loungeId=80&amp;package=programm6</x:v>
      </x:c>
      <x:c r="Q12" s="61" t="n">
        <x:v>46231</x:v>
      </x:c>
    </x:row>
    <x:row r="13">
      <x:c r="A13" s="57" t="n">
        <x:v>12</x:v>
      </x:c>
      <x:c r="B13" s="58" t="str">
        <x:v>Владивосток</x:v>
      </x:c>
      <x:c r="C13" s="57" t="str">
        <x:v>VVO</x:v>
      </x:c>
      <x:c r="D13" s="59" t="str">
        <x:v>Кневичи</x:v>
      </x:c>
      <x:c r="E13" s="58" t="str">
        <x:v>Аэропорт</x:v>
      </x:c>
      <x:c r="F13" s="59" t="str">
        <x:v>Приморье</x:v>
      </x:c>
      <x:c r="G13" s="57" t="str">
        <x:v>—</x:v>
      </x:c>
      <x:c r="H13" s="57" t="str">
        <x:v>3</x:v>
      </x:c>
      <x:c r="I13" s="57" t="str">
        <x:v>Внутренний</x:v>
      </x:c>
      <x:c r="J13" s="57" t="str">
        <x:v>ON·PASS</x:v>
      </x:c>
      <x:c r="K13" s="59" t="str">
        <x:v>Круглосуточно</x:v>
      </x:c>
      <x:c r="L13" s="59" t="str">
        <x:v>Бизнес-зал расположен на 3-м этаже Терминала А в чистой зоне вылета международных рейсов</x:v>
      </x:c>
      <x:c r="M13" s="57" t="str">
        <x:v>2 и 3</x:v>
      </x:c>
      <x:c r="N13" s="57" t="str">
        <x:v>Открыт</x:v>
      </x:c>
      <x:c r="O13" s="57" t="n">
        <x:v>79</x:v>
      </x:c>
      <x:c r="P13" s="60" t="str">
        <x:v>https://mir.pass.nspk.ru/sber/ru/lounges?airportCode=VVO&amp;loungeId=79&amp;package=programm6</x:v>
      </x:c>
      <x:c r="Q13" s="61" t="n">
        <x:v>46231</x:v>
      </x:c>
    </x:row>
    <x:row r="14">
      <x:c r="A14" s="57" t="n">
        <x:v>13</x:v>
      </x:c>
      <x:c r="B14" s="58" t="str">
        <x:v>Владивосток</x:v>
      </x:c>
      <x:c r="C14" s="57" t="str">
        <x:v>VVO</x:v>
      </x:c>
      <x:c r="D14" s="59" t="str">
        <x:v>Кневичи</x:v>
      </x:c>
      <x:c r="E14" s="58" t="str">
        <x:v>Аэропорт</x:v>
      </x:c>
      <x:c r="F14" s="59" t="str">
        <x:v>VIP-зал</x:v>
      </x:c>
      <x:c r="G14" s="57" t="str">
        <x:v>—</x:v>
      </x:c>
      <x:c r="H14" s="57" t="str">
        <x:v>1</x:v>
      </x:c>
      <x:c r="I14" s="57" t="str">
        <x:v>Внутренний</x:v>
      </x:c>
      <x:c r="J14" s="57" t="str">
        <x:v>ON·PASS</x:v>
      </x:c>
      <x:c r="K14" s="59" t="str">
        <x:v>Круглосуточно</x:v>
      </x:c>
      <x:c r="L14" s="59" t="str">
        <x:v>VIP-зал расположен на 1-м этаже в левом крыле терминала А. Отдельный вход с торца здания.</x:v>
      </x:c>
      <x:c r="M14" s="57" t="str">
        <x:v>2 и 3</x:v>
      </x:c>
      <x:c r="N14" s="57" t="str">
        <x:v>Открыт</x:v>
      </x:c>
      <x:c r="O14" s="57" t="n">
        <x:v>78</x:v>
      </x:c>
      <x:c r="P14" s="60" t="str">
        <x:v>https://mir.pass.nspk.ru/sber/ru/lounges?airportCode=VVO&amp;loungeId=78&amp;package=programm6</x:v>
      </x:c>
      <x:c r="Q14" s="61" t="n">
        <x:v>46231</x:v>
      </x:c>
    </x:row>
    <x:row r="15">
      <x:c r="A15" s="57" t="n">
        <x:v>14</x:v>
      </x:c>
      <x:c r="B15" s="58" t="str">
        <x:v>Владикавказ</x:v>
      </x:c>
      <x:c r="C15" s="57" t="str">
        <x:v>OGZ</x:v>
      </x:c>
      <x:c r="D15" s="59" t="str">
        <x:v>Беслан</x:v>
      </x:c>
      <x:c r="E15" s="58" t="str">
        <x:v>Аэропорт</x:v>
      </x:c>
      <x:c r="F15" s="59" t="str">
        <x:v>Бизнес-зал</x:v>
      </x:c>
      <x:c r="G15" s="57" t="str">
        <x:v>—</x:v>
      </x:c>
      <x:c r="H15" s="57" t="str">
        <x:v>2</x:v>
      </x:c>
      <x:c r="I15" s="57" t="str">
        <x:v>Внутренний</x:v>
      </x:c>
      <x:c r="J15" s="57" t="str">
        <x:v>ON·PASS</x:v>
      </x:c>
      <x:c r="K15" s="59" t="str">
        <x:v>с 8:30 до 21:00</x:v>
      </x:c>
      <x:c r="L15" s="59" t="str">
        <x:v>Зона после паспортного контроля. Бизнес-зал расположен на 2-м этаже с левой стороны. Только для пассажиров внутренних рейсов</x:v>
      </x:c>
      <x:c r="M15" s="57" t="str">
        <x:v>2 и 3</x:v>
      </x:c>
      <x:c r="N15" s="57" t="str">
        <x:v>Открыт</x:v>
      </x:c>
      <x:c r="O15" s="57" t="n">
        <x:v>145</x:v>
      </x:c>
      <x:c r="P15" s="60" t="str">
        <x:v>https://mir.pass.nspk.ru/sber/ru/lounges?airportCode=OGZ&amp;loungeId=145&amp;package=programm6</x:v>
      </x:c>
      <x:c r="Q15" s="61" t="n">
        <x:v>46231</x:v>
      </x:c>
    </x:row>
    <x:row r="16">
      <x:c r="A16" s="57" t="n">
        <x:v>15</x:v>
      </x:c>
      <x:c r="B16" s="58" t="str">
        <x:v>Волгоград</x:v>
      </x:c>
      <x:c r="C16" s="57" t="str">
        <x:v>VOLG</x:v>
      </x:c>
      <x:c r="D16" s="59" t="str">
        <x:v>Вокзал Волгоград</x:v>
      </x:c>
      <x:c r="E16" s="58" t="str">
        <x:v>Ж/д вокзал</x:v>
      </x:c>
      <x:c r="F16" s="59" t="str">
        <x:v>Бизнес-зал</x:v>
      </x:c>
      <x:c r="G16" s="57" t="str">
        <x:v>—</x:v>
      </x:c>
      <x:c r="H16" s="57" t="str">
        <x:v>1</x:v>
      </x:c>
      <x:c r="I16" s="57" t="str">
        <x:v>Не применяется</x:v>
      </x:c>
      <x:c r="J16" s="57" t="str">
        <x:v>ON·PASS</x:v>
      </x:c>
      <x:c r="K16" s="59" t="str">
        <x:v>Круглосуточно</x:v>
      </x:c>
      <x:c r="L16" s="59" t="str">
        <x:v>Бизнес-зал расположен на 1 этаже вокзала</x:v>
      </x:c>
      <x:c r="M16" s="57" t="str">
        <x:v>2 и 3</x:v>
      </x:c>
      <x:c r="N16" s="57" t="str">
        <x:v>Открыт</x:v>
      </x:c>
      <x:c r="O16" s="57" t="n">
        <x:v>74</x:v>
      </x:c>
      <x:c r="P16" s="60" t="str">
        <x:v>https://mir.pass.nspk.ru/sber/ru/lounges?airportCode=VOLG&amp;loungeId=74&amp;package=programm6</x:v>
      </x:c>
      <x:c r="Q16" s="61" t="n">
        <x:v>46231</x:v>
      </x:c>
    </x:row>
    <x:row r="17">
      <x:c r="A17" s="57" t="n">
        <x:v>16</x:v>
      </x:c>
      <x:c r="B17" s="58" t="str">
        <x:v>Волгоград</x:v>
      </x:c>
      <x:c r="C17" s="57" t="str">
        <x:v>VOG</x:v>
      </x:c>
      <x:c r="D17" s="59" t="str">
        <x:v>Гумрак</x:v>
      </x:c>
      <x:c r="E17" s="58" t="str">
        <x:v>Аэропорт</x:v>
      </x:c>
      <x:c r="F17" s="59" t="str">
        <x:v>Бизнес-зал внутренних линий</x:v>
      </x:c>
      <x:c r="G17" s="57" t="str">
        <x:v>—</x:v>
      </x:c>
      <x:c r="H17" s="57" t="str">
        <x:v>2</x:v>
      </x:c>
      <x:c r="I17" s="57" t="str">
        <x:v>Внутренний</x:v>
      </x:c>
      <x:c r="J17" s="57" t="str">
        <x:v>ON·PASS</x:v>
      </x:c>
      <x:c r="K17" s="59" t="str">
        <x:v>Круглосуточно</x:v>
      </x:c>
      <x:c r="L17" s="59" t="str">
        <x:v>Зона после предполетного контроля. Бизнес-зал расположен на 2-м этаже с левой стороны стерильной зоны. Только для пассажиров внутренних рейсов.</x:v>
      </x:c>
      <x:c r="M17" s="57" t="str">
        <x:v>2 и 3</x:v>
      </x:c>
      <x:c r="N17" s="57" t="str">
        <x:v>Открыт</x:v>
      </x:c>
      <x:c r="O17" s="57" t="n">
        <x:v>155</x:v>
      </x:c>
      <x:c r="P17" s="60" t="str">
        <x:v>https://mir.pass.nspk.ru/sber/ru/lounges?airportCode=VOG&amp;loungeId=155&amp;package=programm6</x:v>
      </x:c>
      <x:c r="Q17" s="61" t="n">
        <x:v>46231</x:v>
      </x:c>
    </x:row>
    <x:row r="18">
      <x:c r="A18" s="57" t="n">
        <x:v>17</x:v>
      </x:c>
      <x:c r="B18" s="58" t="str">
        <x:v>Волгоград</x:v>
      </x:c>
      <x:c r="C18" s="57" t="str">
        <x:v>VOG</x:v>
      </x:c>
      <x:c r="D18" s="59" t="str">
        <x:v>Гумрак</x:v>
      </x:c>
      <x:c r="E18" s="58" t="str">
        <x:v>Аэропорт</x:v>
      </x:c>
      <x:c r="F18" s="59" t="str">
        <x:v>Бизнес-зал международных линий</x:v>
      </x:c>
      <x:c r="G18" s="57" t="str">
        <x:v>—</x:v>
      </x:c>
      <x:c r="H18" s="57" t="str">
        <x:v>2</x:v>
      </x:c>
      <x:c r="I18" s="57" t="str">
        <x:v>Внутренний</x:v>
      </x:c>
      <x:c r="J18" s="57" t="str">
        <x:v>ON·PASS</x:v>
      </x:c>
      <x:c r="K18" s="59" t="str">
        <x:v>Круглосуточно</x:v>
      </x:c>
      <x:c r="L18" s="59" t="str">
        <x:v>Зал находится в стерильной зоне терминала международных воздушных линий, после прохождения таможенного контроля, регистрации авиабилетов, пограничного контроля</x:v>
      </x:c>
      <x:c r="M18" s="57" t="str">
        <x:v>2 и 3</x:v>
      </x:c>
      <x:c r="N18" s="57" t="str">
        <x:v>Открыт</x:v>
      </x:c>
      <x:c r="O18" s="57" t="n">
        <x:v>154</x:v>
      </x:c>
      <x:c r="P18" s="60" t="str">
        <x:v>https://mir.pass.nspk.ru/sber/ru/lounges?airportCode=VOG&amp;loungeId=154&amp;package=programm6</x:v>
      </x:c>
      <x:c r="Q18" s="61" t="n">
        <x:v>46231</x:v>
      </x:c>
    </x:row>
    <x:row r="19">
      <x:c r="A19" s="57" t="n">
        <x:v>18</x:v>
      </x:c>
      <x:c r="B19" s="58" t="str">
        <x:v>Геленджик</x:v>
      </x:c>
      <x:c r="C19" s="57" t="str">
        <x:v>GDZ</x:v>
      </x:c>
      <x:c r="D19" s="59" t="str">
        <x:v>Геленджик</x:v>
      </x:c>
      <x:c r="E19" s="58" t="str">
        <x:v>Аэропорт</x:v>
      </x:c>
      <x:c r="F19" s="59" t="str">
        <x:v>VIP-зал</x:v>
      </x:c>
      <x:c r="G19" s="57" t="str">
        <x:v>—</x:v>
      </x:c>
      <x:c r="H19" s="57" t="str">
        <x:v>1</x:v>
      </x:c>
      <x:c r="I19" s="57" t="str">
        <x:v>Внутренний</x:v>
      </x:c>
      <x:c r="J19" s="57" t="str">
        <x:v>ON·PASS</x:v>
      </x:c>
      <x:c r="K19" s="59" t="str">
        <x:v>09:00-21:00</x:v>
      </x:c>
      <x:c r="L19" s="59" t="str">
        <x:v>2-й этаж, большой зал ожидания в зоне вылета
✈️ Для пассажиров внутренних воздушных линий
📞 +7 (8614) 19-90-37</x:v>
      </x:c>
      <x:c r="M19" s="57" t="str">
        <x:v>2 и 3</x:v>
      </x:c>
      <x:c r="N19" s="57" t="str">
        <x:v>Открыт</x:v>
      </x:c>
      <x:c r="O19" s="57" t="n">
        <x:v>167</x:v>
      </x:c>
      <x:c r="P19" s="60" t="str">
        <x:v>https://mir.pass.nspk.ru/sber/ru/lounges?airportCode=GDZ&amp;loungeId=167&amp;package=programm6</x:v>
      </x:c>
      <x:c r="Q19" s="61" t="n">
        <x:v>46231</x:v>
      </x:c>
    </x:row>
    <x:row r="20">
      <x:c r="A20" s="57" t="n">
        <x:v>19</x:v>
      </x:c>
      <x:c r="B20" s="58" t="str">
        <x:v>Горно-Алтайск</x:v>
      </x:c>
      <x:c r="C20" s="57" t="str">
        <x:v>RGK</x:v>
      </x:c>
      <x:c r="D20" s="59" t="str">
        <x:v>Горно-Алтайск</x:v>
      </x:c>
      <x:c r="E20" s="58" t="str">
        <x:v>Аэропорт</x:v>
      </x:c>
      <x:c r="F20" s="59" t="str">
        <x:v>Бизнес-зал</x:v>
      </x:c>
      <x:c r="G20" s="57" t="str">
        <x:v>—</x:v>
      </x:c>
      <x:c r="H20" s="57" t="str">
        <x:v>2</x:v>
      </x:c>
      <x:c r="I20" s="57" t="str">
        <x:v>Внутренний</x:v>
      </x:c>
      <x:c r="J20" s="57" t="str">
        <x:v>ON·PASS</x:v>
      </x:c>
      <x:c r="K20" s="59" t="str">
        <x:v>07:00-19:00</x:v>
      </x:c>
      <x:c r="L20" s="59" t="str">
        <x:v>Терминал В
✈️ Для пассажиров внутренних воздушных линий</x:v>
      </x:c>
      <x:c r="M20" s="57" t="str">
        <x:v>2 и 3</x:v>
      </x:c>
      <x:c r="N20" s="57" t="str">
        <x:v>Открыт</x:v>
      </x:c>
      <x:c r="O20" s="57" t="n">
        <x:v>731</x:v>
      </x:c>
      <x:c r="P20" s="60" t="str">
        <x:v>https://mir.pass.nspk.ru/sber/ru/lounges?airportCode=RGK&amp;loungeId=731&amp;package=programm6</x:v>
      </x:c>
      <x:c r="Q20" s="61" t="n">
        <x:v>46231</x:v>
      </x:c>
    </x:row>
    <x:row r="21">
      <x:c r="A21" s="57" t="n">
        <x:v>20</x:v>
      </x:c>
      <x:c r="B21" s="58" t="str">
        <x:v>Горно-Алтайск</x:v>
      </x:c>
      <x:c r="C21" s="57" t="str">
        <x:v>RGK</x:v>
      </x:c>
      <x:c r="D21" s="59" t="str">
        <x:v>Горно-Алтайск</x:v>
      </x:c>
      <x:c r="E21" s="58" t="str">
        <x:v>Аэропорт</x:v>
      </x:c>
      <x:c r="F21" s="59" t="str">
        <x:v>Зал приоритетного обслуживания</x:v>
      </x:c>
      <x:c r="G21" s="57" t="str">
        <x:v>—</x:v>
      </x:c>
      <x:c r="H21" s="57" t="str">
        <x:v>2</x:v>
      </x:c>
      <x:c r="I21" s="57" t="str">
        <x:v>Внутренний</x:v>
      </x:c>
      <x:c r="J21" s="57" t="str">
        <x:v>ON·PASS</x:v>
      </x:c>
      <x:c r="K21" s="59" t="str">
        <x:v>07:00-19:00</x:v>
      </x:c>
      <x:c r="L21" s="59" t="str">
        <x:v>Терминал А, 2-й этаж, зона регистрации и ожидания
✈️ Для пассажиров внутренних воздушных линий</x:v>
      </x:c>
      <x:c r="M21" s="57" t="str">
        <x:v>2 и 3</x:v>
      </x:c>
      <x:c r="N21" s="57" t="str">
        <x:v>Открыт</x:v>
      </x:c>
      <x:c r="O21" s="57" t="n">
        <x:v>169</x:v>
      </x:c>
      <x:c r="P21" s="60" t="str">
        <x:v>https://mir.pass.nspk.ru/sber/ru/lounges?airportCode=RGK&amp;loungeId=169&amp;package=programm6</x:v>
      </x:c>
      <x:c r="Q21" s="61" t="n">
        <x:v>46231</x:v>
      </x:c>
    </x:row>
    <x:row r="22">
      <x:c r="A22" s="57" t="n">
        <x:v>21</x:v>
      </x:c>
      <x:c r="B22" s="58" t="str">
        <x:v>Екатеринбург</x:v>
      </x:c>
      <x:c r="C22" s="57" t="str">
        <x:v>SVX</x:v>
      </x:c>
      <x:c r="D22" s="59" t="str">
        <x:v>Кольцово</x:v>
      </x:c>
      <x:c r="E22" s="58" t="str">
        <x:v>Аэропорт</x:v>
      </x:c>
      <x:c r="F22" s="59" t="str">
        <x:v>Бизнес-зал Изумруд</x:v>
      </x:c>
      <x:c r="G22" s="57" t="str">
        <x:v>—</x:v>
      </x:c>
      <x:c r="H22" s="57" t="str">
        <x:v>2</x:v>
      </x:c>
      <x:c r="I22" s="57" t="str">
        <x:v>Внутренний</x:v>
      </x:c>
      <x:c r="J22" s="57" t="str">
        <x:v>ON·PASS</x:v>
      </x:c>
      <x:c r="K22" s="59" t="str">
        <x:v>круглосуточно</x:v>
      </x:c>
      <x:c r="L22" s="59" t="str">
        <x:v>Бизнес-зал расположен на 2-м этаже, в стерильной зоне терминала внутренних авиалиний (Терминал А), напротив выхода на посадку №9.</x:v>
      </x:c>
      <x:c r="M22" s="57" t="str">
        <x:v>2 и 3</x:v>
      </x:c>
      <x:c r="N22" s="57" t="str">
        <x:v>Открыт</x:v>
      </x:c>
      <x:c r="O22" s="57" t="n">
        <x:v>117</x:v>
      </x:c>
      <x:c r="P22" s="60" t="str">
        <x:v>https://mir.pass.nspk.ru/sber/ru/lounges?airportCode=SVX&amp;loungeId=117&amp;package=programm6</x:v>
      </x:c>
      <x:c r="Q22" s="61" t="n">
        <x:v>46231</x:v>
      </x:c>
    </x:row>
    <x:row r="23">
      <x:c r="A23" s="57" t="n">
        <x:v>22</x:v>
      </x:c>
      <x:c r="B23" s="58" t="str">
        <x:v>Екатеринбург</x:v>
      </x:c>
      <x:c r="C23" s="57" t="str">
        <x:v>SVX</x:v>
      </x:c>
      <x:c r="D23" s="59" t="str">
        <x:v>Кольцово</x:v>
      </x:c>
      <x:c r="E23" s="58" t="str">
        <x:v>Аэропорт</x:v>
      </x:c>
      <x:c r="F23" s="59" t="str">
        <x:v>Бизнес-зал Топаз</x:v>
      </x:c>
      <x:c r="G23" s="57" t="str">
        <x:v>—</x:v>
      </x:c>
      <x:c r="H23" s="57" t="str">
        <x:v>3</x:v>
      </x:c>
      <x:c r="I23" s="57" t="str">
        <x:v>Международный</x:v>
      </x:c>
      <x:c r="J23" s="57" t="str">
        <x:v>ON·PASS</x:v>
      </x:c>
      <x:c r="K23" s="59" t="str">
        <x:v>Круглосуточно</x:v>
      </x:c>
      <x:c r="L23" s="59" t="str">
        <x:v>Бизнес-зал расположен на 3 этаже в стерильной зоне терминала международных рейсов (Терминал В)</x:v>
      </x:c>
      <x:c r="M23" s="57" t="str">
        <x:v>2 и 3</x:v>
      </x:c>
      <x:c r="N23" s="57" t="str">
        <x:v>Открыт</x:v>
      </x:c>
      <x:c r="O23" s="57" t="n">
        <x:v>116</x:v>
      </x:c>
      <x:c r="P23" s="60" t="str">
        <x:v>https://mir.pass.nspk.ru/sber/ru/lounges?airportCode=SVX&amp;loungeId=116&amp;package=programm6</x:v>
      </x:c>
      <x:c r="Q23" s="61" t="n">
        <x:v>46231</x:v>
      </x:c>
    </x:row>
    <x:row r="24">
      <x:c r="A24" s="57" t="n">
        <x:v>23</x:v>
      </x:c>
      <x:c r="B24" s="58" t="str">
        <x:v>Иваново</x:v>
      </x:c>
      <x:c r="C24" s="57" t="str">
        <x:v>IVAN</x:v>
      </x:c>
      <x:c r="D24" s="59" t="str">
        <x:v>Вокзал Иваново</x:v>
      </x:c>
      <x:c r="E24" s="58" t="str">
        <x:v>Ж/д вокзал</x:v>
      </x:c>
      <x:c r="F24" s="59" t="str">
        <x:v>Бизнес-зал</x:v>
      </x:c>
      <x:c r="G24" s="57" t="str">
        <x:v>—</x:v>
      </x:c>
      <x:c r="H24" s="57" t="str">
        <x:v>1</x:v>
      </x:c>
      <x:c r="I24" s="57" t="str">
        <x:v>Не применяется</x:v>
      </x:c>
      <x:c r="J24" s="57" t="str">
        <x:v>ON·PASS</x:v>
      </x:c>
      <x:c r="K24" s="59" t="str">
        <x:v>Круглосуточно</x:v>
      </x:c>
      <x:c r="L24" s="59" t="str">
        <x:v>Бизнес-зал расположен на 1 этаже вокзала, в Красном зале</x:v>
      </x:c>
      <x:c r="M24" s="57" t="str">
        <x:v>2 и 3</x:v>
      </x:c>
      <x:c r="N24" s="57" t="str">
        <x:v>Открыт</x:v>
      </x:c>
      <x:c r="O24" s="57" t="n">
        <x:v>72</x:v>
      </x:c>
      <x:c r="P24" s="60" t="str">
        <x:v>https://mir.pass.nspk.ru/sber/ru/lounges?airportCode=IVAN&amp;loungeId=72&amp;package=programm6</x:v>
      </x:c>
      <x:c r="Q24" s="61" t="n">
        <x:v>46231</x:v>
      </x:c>
    </x:row>
    <x:row r="25">
      <x:c r="A25" s="57" t="n">
        <x:v>24</x:v>
      </x:c>
      <x:c r="B25" s="58" t="str">
        <x:v>Игарка</x:v>
      </x:c>
      <x:c r="C25" s="57" t="str">
        <x:v>IAA</x:v>
      </x:c>
      <x:c r="D25" s="59" t="str">
        <x:v>Игарка</x:v>
      </x:c>
      <x:c r="E25" s="58" t="str">
        <x:v>Аэропорт</x:v>
      </x:c>
      <x:c r="F25" s="59" t="str">
        <x:v>Бизнес-зал</x:v>
      </x:c>
      <x:c r="G25" s="57" t="str">
        <x:v>—</x:v>
      </x:c>
      <x:c r="H25" s="57" t="str">
        <x:v>1</x:v>
      </x:c>
      <x:c r="I25" s="57" t="str">
        <x:v>Внутренний</x:v>
      </x:c>
      <x:c r="J25" s="57" t="str">
        <x:v>ON·PASS</x:v>
      </x:c>
      <x:c r="K25" s="59" t="str">
        <x:v>Не указано</x:v>
      </x:c>
      <x:c r="L25" s="59" t="str">
        <x:v>Терминал "В"</x:v>
      </x:c>
      <x:c r="M25" s="57" t="str">
        <x:v>2 и 3</x:v>
      </x:c>
      <x:c r="N25" s="57" t="str">
        <x:v>Открыт</x:v>
      </x:c>
      <x:c r="O25" s="57" t="n">
        <x:v>168</x:v>
      </x:c>
      <x:c r="P25" s="60" t="str">
        <x:v>https://mir.pass.nspk.ru/sber/ru/lounges?airportCode=IAA&amp;loungeId=168&amp;package=programm6</x:v>
      </x:c>
      <x:c r="Q25" s="61" t="n">
        <x:v>46231</x:v>
      </x:c>
    </x:row>
    <x:row r="26">
      <x:c r="A26" s="57" t="n">
        <x:v>25</x:v>
      </x:c>
      <x:c r="B26" s="58" t="str">
        <x:v>Иркутск</x:v>
      </x:c>
      <x:c r="C26" s="57" t="str">
        <x:v>IKT</x:v>
      </x:c>
      <x:c r="D26" s="59" t="str">
        <x:v>Иркутск</x:v>
      </x:c>
      <x:c r="E26" s="58" t="str">
        <x:v>Аэропорт</x:v>
      </x:c>
      <x:c r="F26" s="59" t="str">
        <x:v>Зал повышенного комфорта ВВЛ</x:v>
      </x:c>
      <x:c r="G26" s="57" t="str">
        <x:v>—</x:v>
      </x:c>
      <x:c r="H26" s="57" t="str">
        <x:v>2</x:v>
      </x:c>
      <x:c r="I26" s="57" t="str">
        <x:v>Внутренний</x:v>
      </x:c>
      <x:c r="J26" s="57" t="str">
        <x:v>ON·PASS</x:v>
      </x:c>
      <x:c r="K26" s="59" t="str">
        <x:v>Круглосуточно</x:v>
      </x:c>
      <x:c r="L26" s="59" t="str">
        <x:v>Внутренний Терминал, на 2 этаже VIP-терминала после прохождения регистрации в зоне паспортного контроля
✈️ Для пассажиров внутренних воздушных линий</x:v>
      </x:c>
      <x:c r="M26" s="57" t="str">
        <x:v>2 и 3</x:v>
      </x:c>
      <x:c r="N26" s="57" t="str">
        <x:v>Открыт</x:v>
      </x:c>
      <x:c r="O26" s="57" t="n">
        <x:v>233</x:v>
      </x:c>
      <x:c r="P26" s="60" t="str">
        <x:v>https://mir.pass.nspk.ru/sber/ru/lounges?airportCode=IKT&amp;loungeId=233&amp;package=programm6</x:v>
      </x:c>
      <x:c r="Q26" s="61" t="n">
        <x:v>46231</x:v>
      </x:c>
    </x:row>
    <x:row r="27">
      <x:c r="A27" s="57" t="n">
        <x:v>26</x:v>
      </x:c>
      <x:c r="B27" s="58" t="str">
        <x:v>Иркутск</x:v>
      </x:c>
      <x:c r="C27" s="57" t="str">
        <x:v>IKT</x:v>
      </x:c>
      <x:c r="D27" s="59" t="str">
        <x:v>Иркутск</x:v>
      </x:c>
      <x:c r="E27" s="58" t="str">
        <x:v>Аэропорт</x:v>
      </x:c>
      <x:c r="F27" s="59" t="str">
        <x:v>Зал повышенного комфорта МВЛ</x:v>
      </x:c>
      <x:c r="G27" s="57" t="str">
        <x:v>—</x:v>
      </x:c>
      <x:c r="H27" s="57" t="str">
        <x:v>1</x:v>
      </x:c>
      <x:c r="I27" s="57" t="str">
        <x:v>Внутренний</x:v>
      </x:c>
      <x:c r="J27" s="57" t="str">
        <x:v>ON·PASS</x:v>
      </x:c>
      <x:c r="K27" s="59" t="str">
        <x:v>Круглосуточно</x:v>
      </x:c>
      <x:c r="L27" s="59" t="str">
        <x:v>Международный Терминал, зона вылета.
✈️ Для пассажиров международных воздушных линий</x:v>
      </x:c>
      <x:c r="M27" s="57" t="str">
        <x:v>2 и 3</x:v>
      </x:c>
      <x:c r="N27" s="57" t="str">
        <x:v>Открыт</x:v>
      </x:c>
      <x:c r="O27" s="57" t="n">
        <x:v>343</x:v>
      </x:c>
      <x:c r="P27" s="60" t="str">
        <x:v>https://mir.pass.nspk.ru/sber/ru/lounges?airportCode=IKT&amp;loungeId=343&amp;package=programm6</x:v>
      </x:c>
      <x:c r="Q27" s="61" t="n">
        <x:v>46231</x:v>
      </x:c>
    </x:row>
    <x:row r="28">
      <x:c r="A28" s="57" t="n">
        <x:v>27</x:v>
      </x:c>
      <x:c r="B28" s="58" t="str">
        <x:v>Казань</x:v>
      </x:c>
      <x:c r="C28" s="57" t="str">
        <x:v>KZN</x:v>
      </x:c>
      <x:c r="D28" s="59" t="str">
        <x:v>Казань</x:v>
      </x:c>
      <x:c r="E28" s="58" t="str">
        <x:v>Аэропорт</x:v>
      </x:c>
      <x:c r="F28" s="59" t="str">
        <x:v>Бизнес-зал</x:v>
      </x:c>
      <x:c r="G28" s="57" t="str">
        <x:v>—</x:v>
      </x:c>
      <x:c r="H28" s="57" t="str">
        <x:v>1</x:v>
      </x:c>
      <x:c r="I28" s="57" t="str">
        <x:v>Внутренний</x:v>
      </x:c>
      <x:c r="J28" s="57" t="str">
        <x:v>ON·PASS</x:v>
      </x:c>
      <x:c r="K28" s="59" t="str">
        <x:v>Круглосуточно</x:v>
      </x:c>
      <x:c r="L28" s="59" t="str">
        <x:v>Терминал 1А. Зона после паспортного контроля. Первый этаж. Только для пассажиров международных рейсов.</x:v>
      </x:c>
      <x:c r="M28" s="57" t="str">
        <x:v>2 и 3</x:v>
      </x:c>
      <x:c r="N28" s="57" t="str">
        <x:v>Открыт</x:v>
      </x:c>
      <x:c r="O28" s="57" t="n">
        <x:v>22</x:v>
      </x:c>
      <x:c r="P28" s="60" t="str">
        <x:v>https://mir.pass.nspk.ru/sber/ru/lounges?airportCode=KZN&amp;loungeId=22&amp;package=programm6</x:v>
      </x:c>
      <x:c r="Q28" s="61" t="n">
        <x:v>46231</x:v>
      </x:c>
    </x:row>
    <x:row r="29">
      <x:c r="A29" s="57" t="n">
        <x:v>28</x:v>
      </x:c>
      <x:c r="B29" s="58" t="str">
        <x:v>Казань</x:v>
      </x:c>
      <x:c r="C29" s="57" t="str">
        <x:v>KZN</x:v>
      </x:c>
      <x:c r="D29" s="59" t="str">
        <x:v>Казань</x:v>
      </x:c>
      <x:c r="E29" s="58" t="str">
        <x:v>Аэропорт</x:v>
      </x:c>
      <x:c r="F29" s="59" t="str">
        <x:v>Бизнес-зал</x:v>
      </x:c>
      <x:c r="G29" s="57" t="str">
        <x:v>—</x:v>
      </x:c>
      <x:c r="H29" s="57" t="str">
        <x:v>2</x:v>
      </x:c>
      <x:c r="I29" s="57" t="str">
        <x:v>Внутренний</x:v>
      </x:c>
      <x:c r="J29" s="57" t="str">
        <x:v>ON·PASS</x:v>
      </x:c>
      <x:c r="K29" s="59" t="str">
        <x:v>Круглосуточно</x:v>
      </x:c>
      <x:c r="L29" s="59" t="str">
        <x:v>Терминал 2. Этаж 2</x:v>
      </x:c>
      <x:c r="M29" s="57" t="str">
        <x:v>2 и 3</x:v>
      </x:c>
      <x:c r="N29" s="57" t="str">
        <x:v>Открыт</x:v>
      </x:c>
      <x:c r="O29" s="57" t="n">
        <x:v>20</x:v>
      </x:c>
      <x:c r="P29" s="60" t="str">
        <x:v>https://mir.pass.nspk.ru/sber/ru/lounges?airportCode=KZN&amp;loungeId=20&amp;package=programm6</x:v>
      </x:c>
      <x:c r="Q29" s="61" t="n">
        <x:v>46231</x:v>
      </x:c>
    </x:row>
    <x:row r="30">
      <x:c r="A30" s="57" t="n">
        <x:v>29</x:v>
      </x:c>
      <x:c r="B30" s="58" t="str">
        <x:v>Казань</x:v>
      </x:c>
      <x:c r="C30" s="57" t="str">
        <x:v>KZN</x:v>
      </x:c>
      <x:c r="D30" s="59" t="str">
        <x:v>Казань</x:v>
      </x:c>
      <x:c r="E30" s="58" t="str">
        <x:v>Аэропорт</x:v>
      </x:c>
      <x:c r="F30" s="59" t="str">
        <x:v>Air Lounge</x:v>
      </x:c>
      <x:c r="G30" s="57" t="str">
        <x:v>—</x:v>
      </x:c>
      <x:c r="H30" s="57" t="str">
        <x:v>1</x:v>
      </x:c>
      <x:c r="I30" s="57" t="str">
        <x:v>Внутренний</x:v>
      </x:c>
      <x:c r="J30" s="57" t="str">
        <x:v>ON·PASS</x:v>
      </x:c>
      <x:c r="K30" s="59" t="str">
        <x:v>Круглосуточно</x:v>
      </x:c>
      <x:c r="L30" s="59" t="str">
        <x:v>Зона до паспортного контроля. Бизнес-зал расположен на 1-м этаже. Для пассажиров внутренних и международных рейсов</x:v>
      </x:c>
      <x:c r="M30" s="57" t="str">
        <x:v>2 и 3</x:v>
      </x:c>
      <x:c r="N30" s="57" t="str">
        <x:v>Открыт</x:v>
      </x:c>
      <x:c r="O30" s="57" t="n">
        <x:v>345</x:v>
      </x:c>
      <x:c r="P30" s="60" t="str">
        <x:v>https://mir.pass.nspk.ru/sber/ru/lounges?airportCode=KZN&amp;loungeId=345&amp;package=programm6</x:v>
      </x:c>
      <x:c r="Q30" s="61" t="n">
        <x:v>46231</x:v>
      </x:c>
    </x:row>
    <x:row r="31">
      <x:c r="A31" s="57" t="n">
        <x:v>30</x:v>
      </x:c>
      <x:c r="B31" s="58" t="str">
        <x:v>Казань</x:v>
      </x:c>
      <x:c r="C31" s="57" t="str">
        <x:v>KZN</x:v>
      </x:c>
      <x:c r="D31" s="59" t="str">
        <x:v>Казань</x:v>
      </x:c>
      <x:c r="E31" s="58" t="str">
        <x:v>Аэропорт</x:v>
      </x:c>
      <x:c r="F31" s="59" t="str">
        <x:v>Sky Lounge</x:v>
      </x:c>
      <x:c r="G31" s="57" t="str">
        <x:v>—</x:v>
      </x:c>
      <x:c r="H31" s="57" t="str">
        <x:v>1</x:v>
      </x:c>
      <x:c r="I31" s="57" t="str">
        <x:v>Внутренний</x:v>
      </x:c>
      <x:c r="J31" s="57" t="str">
        <x:v>ON·PASS</x:v>
      </x:c>
      <x:c r="K31" s="59" t="str">
        <x:v>Круглосуточно</x:v>
      </x:c>
      <x:c r="L31" s="59" t="str">
        <x:v>Зона после паспортного контроля. Бизнес-зал расположен на 1-м этаже с правой стороны. Только для пассажиров международных рейсов</x:v>
      </x:c>
      <x:c r="M31" s="57" t="str">
        <x:v>2 и 3</x:v>
      </x:c>
      <x:c r="N31" s="57" t="str">
        <x:v>Открыт</x:v>
      </x:c>
      <x:c r="O31" s="57" t="n">
        <x:v>346</x:v>
      </x:c>
      <x:c r="P31" s="60" t="str">
        <x:v>https://mir.pass.nspk.ru/sber/ru/lounges?airportCode=KZN&amp;loungeId=346&amp;package=programm6</x:v>
      </x:c>
      <x:c r="Q31" s="61" t="n">
        <x:v>46231</x:v>
      </x:c>
    </x:row>
    <x:row r="32">
      <x:c r="A32" s="57" t="n">
        <x:v>31</x:v>
      </x:c>
      <x:c r="B32" s="58" t="str">
        <x:v>Казань</x:v>
      </x:c>
      <x:c r="C32" s="57" t="str">
        <x:v>KZN</x:v>
      </x:c>
      <x:c r="D32" s="59" t="str">
        <x:v>Казань</x:v>
      </x:c>
      <x:c r="E32" s="58" t="str">
        <x:v>Аэропорт</x:v>
      </x:c>
      <x:c r="F32" s="59" t="str">
        <x:v>VIP-зал</x:v>
      </x:c>
      <x:c r="G32" s="57" t="str">
        <x:v>—</x:v>
      </x:c>
      <x:c r="H32" s="57" t="str">
        <x:v>2</x:v>
      </x:c>
      <x:c r="I32" s="57" t="str">
        <x:v>Внутренний</x:v>
      </x:c>
      <x:c r="J32" s="57" t="str">
        <x:v>ON·PASS</x:v>
      </x:c>
      <x:c r="K32" s="59" t="str">
        <x:v>Круглосуточно</x:v>
      </x:c>
      <x:c r="L32" s="59" t="str">
        <x:v>Терминал 2, этаж 2</x:v>
      </x:c>
      <x:c r="M32" s="57" t="str">
        <x:v>2 и 3</x:v>
      </x:c>
      <x:c r="N32" s="57" t="str">
        <x:v>Открыт</x:v>
      </x:c>
      <x:c r="O32" s="57" t="n">
        <x:v>21</x:v>
      </x:c>
      <x:c r="P32" s="60" t="str">
        <x:v>https://mir.pass.nspk.ru/sber/ru/lounges?airportCode=KZN&amp;loungeId=21&amp;package=programm6</x:v>
      </x:c>
      <x:c r="Q32" s="61" t="n">
        <x:v>46231</x:v>
      </x:c>
    </x:row>
    <x:row r="33">
      <x:c r="A33" s="57" t="n">
        <x:v>32</x:v>
      </x:c>
      <x:c r="B33" s="58" t="str">
        <x:v>Калининград</x:v>
      </x:c>
      <x:c r="C33" s="57" t="str">
        <x:v>KGD</x:v>
      </x:c>
      <x:c r="D33" s="59" t="str">
        <x:v>Храброво</x:v>
      </x:c>
      <x:c r="E33" s="58" t="str">
        <x:v>Аэропорт</x:v>
      </x:c>
      <x:c r="F33" s="59" t="str">
        <x:v>Бизнес-зал "Дюны"</x:v>
      </x:c>
      <x:c r="G33" s="57" t="str">
        <x:v>—</x:v>
      </x:c>
      <x:c r="H33" s="57" t="str">
        <x:v>2</x:v>
      </x:c>
      <x:c r="I33" s="57" t="str">
        <x:v>Внутренний</x:v>
      </x:c>
      <x:c r="J33" s="57" t="str">
        <x:v>ON·PASS</x:v>
      </x:c>
      <x:c r="K33" s="59" t="str">
        <x:v>Круглосуточно</x:v>
      </x:c>
      <x:c r="L33" s="59" t="str">
        <x:v>Зал повышенной комфортности расположен на 2 этаже после зоны паспортного контроля с левой стороны</x:v>
      </x:c>
      <x:c r="M33" s="57" t="str">
        <x:v>2 и 3</x:v>
      </x:c>
      <x:c r="N33" s="57" t="str">
        <x:v>Открыт</x:v>
      </x:c>
      <x:c r="O33" s="57" t="n">
        <x:v>278</x:v>
      </x:c>
      <x:c r="P33" s="60" t="str">
        <x:v>https://mir.pass.nspk.ru/sber/ru/lounges?airportCode=KGD&amp;loungeId=278&amp;package=programm6</x:v>
      </x:c>
      <x:c r="Q33" s="61" t="n">
        <x:v>46231</x:v>
      </x:c>
    </x:row>
    <x:row r="34">
      <x:c r="A34" s="57" t="n">
        <x:v>33</x:v>
      </x:c>
      <x:c r="B34" s="58" t="str">
        <x:v>Калининград</x:v>
      </x:c>
      <x:c r="C34" s="57" t="str">
        <x:v>KGD</x:v>
      </x:c>
      <x:c r="D34" s="59" t="str">
        <x:v>Храброво</x:v>
      </x:c>
      <x:c r="E34" s="58" t="str">
        <x:v>Аэропорт</x:v>
      </x:c>
      <x:c r="F34" s="59" t="str">
        <x:v>Бизнес-зал "Куршский залив"</x:v>
      </x:c>
      <x:c r="G34" s="57" t="str">
        <x:v>—</x:v>
      </x:c>
      <x:c r="H34" s="57" t="str">
        <x:v>2</x:v>
      </x:c>
      <x:c r="I34" s="57" t="str">
        <x:v>Внутренний</x:v>
      </x:c>
      <x:c r="J34" s="57" t="str">
        <x:v>ON·PASS</x:v>
      </x:c>
      <x:c r="K34" s="59" t="str">
        <x:v>Круглосуточно</x:v>
      </x:c>
      <x:c r="L34" s="59" t="str">
        <x:v>Зал повышенной комфортности расположен после зоны досмотра пассажиров с правой стороны</x:v>
      </x:c>
      <x:c r="M34" s="57" t="str">
        <x:v>2 и 3</x:v>
      </x:c>
      <x:c r="N34" s="57" t="str">
        <x:v>Открыт</x:v>
      </x:c>
      <x:c r="O34" s="57" t="n">
        <x:v>157</x:v>
      </x:c>
      <x:c r="P34" s="60" t="str">
        <x:v>https://mir.pass.nspk.ru/sber/ru/lounges?airportCode=KGD&amp;loungeId=157&amp;package=programm6</x:v>
      </x:c>
      <x:c r="Q34" s="61" t="n">
        <x:v>46231</x:v>
      </x:c>
    </x:row>
    <x:row r="35">
      <x:c r="A35" s="57" t="n">
        <x:v>34</x:v>
      </x:c>
      <x:c r="B35" s="58" t="str">
        <x:v>Калининград</x:v>
      </x:c>
      <x:c r="C35" s="57" t="str">
        <x:v>KGD</x:v>
      </x:c>
      <x:c r="D35" s="59" t="str">
        <x:v>Храброво</x:v>
      </x:c>
      <x:c r="E35" s="58" t="str">
        <x:v>Аэропорт</x:v>
      </x:c>
      <x:c r="F35" s="59" t="str">
        <x:v>Зал повышенной комфортности "Маяк"</x:v>
      </x:c>
      <x:c r="G35" s="57" t="str">
        <x:v>—</x:v>
      </x:c>
      <x:c r="H35" s="57" t="str">
        <x:v>2</x:v>
      </x:c>
      <x:c r="I35" s="57" t="str">
        <x:v>Внутренний</x:v>
      </x:c>
      <x:c r="J35" s="57" t="str">
        <x:v>ON·PASS</x:v>
      </x:c>
      <x:c r="K35" s="59" t="str">
        <x:v>Круглосуточно</x:v>
      </x:c>
      <x:c r="L35" s="59" t="str">
        <x:v>Зал повышенной комфортности расположен после зоны досмотра пассажиров с правой стороны</x:v>
      </x:c>
      <x:c r="M35" s="57" t="str">
        <x:v>2 и 3</x:v>
      </x:c>
      <x:c r="N35" s="57" t="str">
        <x:v>Открыт</x:v>
      </x:c>
      <x:c r="O35" s="57" t="n">
        <x:v>156</x:v>
      </x:c>
      <x:c r="P35" s="60" t="str">
        <x:v>https://mir.pass.nspk.ru/sber/ru/lounges?airportCode=KGD&amp;loungeId=156&amp;package=programm6</x:v>
      </x:c>
      <x:c r="Q35" s="61" t="n">
        <x:v>46231</x:v>
      </x:c>
    </x:row>
    <x:row r="36">
      <x:c r="A36" s="57" t="n">
        <x:v>35</x:v>
      </x:c>
      <x:c r="B36" s="58" t="str">
        <x:v>Кемерово</x:v>
      </x:c>
      <x:c r="C36" s="57" t="str">
        <x:v>KEJ</x:v>
      </x:c>
      <x:c r="D36" s="59" t="str">
        <x:v>Кемерово</x:v>
      </x:c>
      <x:c r="E36" s="58" t="str">
        <x:v>Аэропорт</x:v>
      </x:c>
      <x:c r="F36" s="59" t="str">
        <x:v>Зал повышенной комфортности внутренний</x:v>
      </x:c>
      <x:c r="G36" s="57" t="str">
        <x:v>—</x:v>
      </x:c>
      <x:c r="H36" s="57" t="str">
        <x:v>2</x:v>
      </x:c>
      <x:c r="I36" s="57" t="str">
        <x:v>Внутренний</x:v>
      </x:c>
      <x:c r="J36" s="57" t="str">
        <x:v>ON·PASS</x:v>
      </x:c>
      <x:c r="K36" s="59" t="str">
        <x:v>Ежедневно с 04:00 до 20:00 местного времени</x:v>
      </x:c>
      <x:c r="L36" s="59" t="str">
        <x:v>Зал повышенной комфортности расположен после зоны досмотра пассажиров с правой стороны, между 1 и 2 выходом на посадку</x:v>
      </x:c>
      <x:c r="M36" s="57" t="str">
        <x:v>2 и 3</x:v>
      </x:c>
      <x:c r="N36" s="57" t="str">
        <x:v>Открыт</x:v>
      </x:c>
      <x:c r="O36" s="57" t="n">
        <x:v>158</x:v>
      </x:c>
      <x:c r="P36" s="60" t="str">
        <x:v>https://mir.pass.nspk.ru/sber/ru/lounges?airportCode=KEJ&amp;loungeId=158&amp;package=programm6</x:v>
      </x:c>
      <x:c r="Q36" s="61" t="n">
        <x:v>46231</x:v>
      </x:c>
    </x:row>
    <x:row r="37">
      <x:c r="A37" s="57" t="n">
        <x:v>36</x:v>
      </x:c>
      <x:c r="B37" s="58" t="str">
        <x:v>Кемерово</x:v>
      </x:c>
      <x:c r="C37" s="57" t="str">
        <x:v>KEJ</x:v>
      </x:c>
      <x:c r="D37" s="59" t="str">
        <x:v>Кемерово</x:v>
      </x:c>
      <x:c r="E37" s="58" t="str">
        <x:v>Аэропорт</x:v>
      </x:c>
      <x:c r="F37" s="59" t="str">
        <x:v>Зал повышенной комфортности международный</x:v>
      </x:c>
      <x:c r="G37" s="57" t="str">
        <x:v>—</x:v>
      </x:c>
      <x:c r="H37" s="57" t="str">
        <x:v>2</x:v>
      </x:c>
      <x:c r="I37" s="57" t="str">
        <x:v>Внутренний</x:v>
      </x:c>
      <x:c r="J37" s="57" t="str">
        <x:v>ON·PASS</x:v>
      </x:c>
      <x:c r="K37" s="59" t="str">
        <x:v>Ежедневно с 04:00 до 20:00 местного времени</x:v>
      </x:c>
      <x:c r="L37" s="59" t="str">
        <x:v>Зал повышенной комфортности расположен после зоны досмотра пассажиров рядом с выходом на посадку №1</x:v>
      </x:c>
      <x:c r="M37" s="57" t="str">
        <x:v>2 и 3</x:v>
      </x:c>
      <x:c r="N37" s="57" t="str">
        <x:v>Открыт</x:v>
      </x:c>
      <x:c r="O37" s="57" t="n">
        <x:v>159</x:v>
      </x:c>
      <x:c r="P37" s="60" t="str">
        <x:v>https://mir.pass.nspk.ru/sber/ru/lounges?airportCode=KEJ&amp;loungeId=159&amp;package=programm6</x:v>
      </x:c>
      <x:c r="Q37" s="61" t="n">
        <x:v>46231</x:v>
      </x:c>
    </x:row>
    <x:row r="38">
      <x:c r="A38" s="57" t="n">
        <x:v>37</x:v>
      </x:c>
      <x:c r="B38" s="58" t="str">
        <x:v>Киров</x:v>
      </x:c>
      <x:c r="C38" s="57" t="str">
        <x:v>KVX</x:v>
      </x:c>
      <x:c r="D38" s="59" t="str">
        <x:v>Победилово</x:v>
      </x:c>
      <x:c r="E38" s="58" t="str">
        <x:v>Аэропорт</x:v>
      </x:c>
      <x:c r="F38" s="59" t="str">
        <x:v>Бизнес-зал</x:v>
      </x:c>
      <x:c r="G38" s="57" t="str">
        <x:v>—</x:v>
      </x:c>
      <x:c r="H38" s="57" t="str">
        <x:v>1</x:v>
      </x:c>
      <x:c r="I38" s="57" t="str">
        <x:v>Внутренний</x:v>
      </x:c>
      <x:c r="J38" s="57" t="str">
        <x:v>ON·PASS</x:v>
      </x:c>
      <x:c r="K38" s="59" t="str">
        <x:v>Круглосуточно</x:v>
      </x:c>
      <x:c r="L38" s="59" t="str">
        <x:v>Бизнес-зал расположен на 1-м этаже с правой стороны. Зона после предполетного досмотра.</x:v>
      </x:c>
      <x:c r="M38" s="57" t="str">
        <x:v>2 и 3</x:v>
      </x:c>
      <x:c r="N38" s="57" t="str">
        <x:v>Открыт</x:v>
      </x:c>
      <x:c r="O38" s="57" t="n">
        <x:v>172</x:v>
      </x:c>
      <x:c r="P38" s="60" t="str">
        <x:v>https://mir.pass.nspk.ru/sber/ru/lounges?airportCode=KVX&amp;loungeId=172&amp;package=programm6</x:v>
      </x:c>
      <x:c r="Q38" s="61" t="n">
        <x:v>46231</x:v>
      </x:c>
    </x:row>
    <x:row r="39">
      <x:c r="A39" s="57" t="n">
        <x:v>38</x:v>
      </x:c>
      <x:c r="B39" s="58" t="str">
        <x:v>Магадан</x:v>
      </x:c>
      <x:c r="C39" s="57" t="str">
        <x:v>GDX</x:v>
      </x:c>
      <x:c r="D39" s="59" t="str">
        <x:v>Магадан</x:v>
      </x:c>
      <x:c r="E39" s="58" t="str">
        <x:v>Аэропорт</x:v>
      </x:c>
      <x:c r="F39" s="59" t="str">
        <x:v>Бизнес-зал</x:v>
      </x:c>
      <x:c r="G39" s="57" t="str">
        <x:v>—</x:v>
      </x:c>
      <x:c r="H39" s="57" t="str">
        <x:v>1</x:v>
      </x:c>
      <x:c r="I39" s="57" t="str">
        <x:v>Внутренний</x:v>
      </x:c>
      <x:c r="J39" s="57" t="str">
        <x:v>ON·PASS</x:v>
      </x:c>
      <x:c r="K39" s="59" t="str">
        <x:v>Режим работы бизнес-зала установлен на время коммерческого обслуживания рейсов.</x:v>
      </x:c>
      <x:c r="L39" s="59" t="str">
        <x:v>Зона после паспортного и предполетного контроля. Бизнес-зал расположен на 1 этаже в накопителе здания аэровокзального комплекса.</x:v>
      </x:c>
      <x:c r="M39" s="57" t="str">
        <x:v>2 и 3</x:v>
      </x:c>
      <x:c r="N39" s="57" t="str">
        <x:v>Открыт</x:v>
      </x:c>
      <x:c r="O39" s="57" t="n">
        <x:v>266</x:v>
      </x:c>
      <x:c r="P39" s="60" t="str">
        <x:v>https://mir.pass.nspk.ru/sber/ru/lounges?airportCode=GDX&amp;loungeId=266&amp;package=programm6</x:v>
      </x:c>
      <x:c r="Q39" s="61" t="n">
        <x:v>46231</x:v>
      </x:c>
    </x:row>
    <x:row r="40">
      <x:c r="A40" s="57" t="n">
        <x:v>39</x:v>
      </x:c>
      <x:c r="B40" s="58" t="str">
        <x:v>Магнитогорск</x:v>
      </x:c>
      <x:c r="C40" s="57" t="str">
        <x:v>MQF</x:v>
      </x:c>
      <x:c r="D40" s="59" t="str">
        <x:v>Магнитогорск</x:v>
      </x:c>
      <x:c r="E40" s="58" t="str">
        <x:v>Аэропорт</x:v>
      </x:c>
      <x:c r="F40" s="59" t="str">
        <x:v>Зал повышенной комфортности</x:v>
      </x:c>
      <x:c r="G40" s="57" t="str">
        <x:v>—</x:v>
      </x:c>
      <x:c r="H40" s="57" t="str">
        <x:v>1</x:v>
      </x:c>
      <x:c r="I40" s="57" t="str">
        <x:v>Внутренний</x:v>
      </x:c>
      <x:c r="J40" s="57" t="str">
        <x:v>ON·PASS</x:v>
      </x:c>
      <x:c r="K40" s="59" t="str">
        <x:v>Круглосуточно</x:v>
      </x:c>
      <x:c r="L40" s="59" t="str">
        <x:v>Вход в зал повышенной комфортности расположен с правой стороны здания аэровокзала</x:v>
      </x:c>
      <x:c r="M40" s="57" t="str">
        <x:v>2 и 3</x:v>
      </x:c>
      <x:c r="N40" s="57" t="str">
        <x:v>Открыт</x:v>
      </x:c>
      <x:c r="O40" s="57" t="n">
        <x:v>125</x:v>
      </x:c>
      <x:c r="P40" s="60" t="str">
        <x:v>https://mir.pass.nspk.ru/sber/ru/lounges?airportCode=MQF&amp;loungeId=125&amp;package=programm6</x:v>
      </x:c>
      <x:c r="Q40" s="61" t="n">
        <x:v>46231</x:v>
      </x:c>
    </x:row>
    <x:row r="41">
      <x:c r="A41" s="57" t="n">
        <x:v>40</x:v>
      </x:c>
      <x:c r="B41" s="58" t="str">
        <x:v>Махачкала</x:v>
      </x:c>
      <x:c r="C41" s="57" t="str">
        <x:v>MCX</x:v>
      </x:c>
      <x:c r="D41" s="59" t="str">
        <x:v>Махачкала</x:v>
      </x:c>
      <x:c r="E41" s="58" t="str">
        <x:v>Аэропорт</x:v>
      </x:c>
      <x:c r="F41" s="59" t="str">
        <x:v>Зал официальных лиц и делегаций</x:v>
      </x:c>
      <x:c r="G41" s="57" t="str">
        <x:v>—</x:v>
      </x:c>
      <x:c r="H41" s="57" t="str">
        <x:v>1</x:v>
      </x:c>
      <x:c r="I41" s="57" t="str">
        <x:v>Внутренний</x:v>
      </x:c>
      <x:c r="J41" s="57" t="str">
        <x:v>ON·PASS</x:v>
      </x:c>
      <x:c r="K41" s="59" t="str">
        <x:v>С 09:00 до 21:00</x:v>
      </x:c>
      <x:c r="L41" s="59" t="str">
        <x:v>Здание ЗОЛиД расположено справа от Терминала А 
✈️  Для пассажиров внутренних воздушных линий</x:v>
      </x:c>
      <x:c r="M41" s="57" t="str">
        <x:v>2 и 3</x:v>
      </x:c>
      <x:c r="N41" s="57" t="str">
        <x:v>Открыт</x:v>
      </x:c>
      <x:c r="O41" s="57" t="n">
        <x:v>188</x:v>
      </x:c>
      <x:c r="P41" s="60" t="str">
        <x:v>https://mir.pass.nspk.ru/sber/ru/lounges?airportCode=MCX&amp;loungeId=188&amp;package=programm6</x:v>
      </x:c>
      <x:c r="Q41" s="61" t="n">
        <x:v>46231</x:v>
      </x:c>
    </x:row>
    <x:row r="42">
      <x:c r="A42" s="57" t="n">
        <x:v>41</x:v>
      </x:c>
      <x:c r="B42" s="58" t="str">
        <x:v>Махачкала</x:v>
      </x:c>
      <x:c r="C42" s="57" t="str">
        <x:v>MCX</x:v>
      </x:c>
      <x:c r="D42" s="59" t="str">
        <x:v>Махачкала</x:v>
      </x:c>
      <x:c r="E42" s="58" t="str">
        <x:v>Аэропорт</x:v>
      </x:c>
      <x:c r="F42" s="59" t="str">
        <x:v>VIP-зал</x:v>
      </x:c>
      <x:c r="G42" s="57" t="str">
        <x:v>—</x:v>
      </x:c>
      <x:c r="H42" s="57" t="str">
        <x:v>1</x:v>
      </x:c>
      <x:c r="I42" s="57" t="str">
        <x:v>Внутренний</x:v>
      </x:c>
      <x:c r="J42" s="57" t="str">
        <x:v>ON·PASS</x:v>
      </x:c>
      <x:c r="K42" s="59" t="str">
        <x:v>Круглосуточно</x:v>
      </x:c>
      <x:c r="L42" s="59" t="str">
        <x:v>Терминал А, 1-й этаж, правое крыло (отдельный вход)
✈️ Для пассажиров внутренних воздушных линий</x:v>
      </x:c>
      <x:c r="M42" s="57" t="str">
        <x:v>2 и 3</x:v>
      </x:c>
      <x:c r="N42" s="57" t="str">
        <x:v>Открыт</x:v>
      </x:c>
      <x:c r="O42" s="57" t="n">
        <x:v>177</x:v>
      </x:c>
      <x:c r="P42" s="60" t="str">
        <x:v>https://mir.pass.nspk.ru/sber/ru/lounges?airportCode=MCX&amp;loungeId=177&amp;package=programm6</x:v>
      </x:c>
      <x:c r="Q42" s="61" t="n">
        <x:v>46231</x:v>
      </x:c>
    </x:row>
    <x:row r="43">
      <x:c r="A43" s="57" t="n">
        <x:v>42</x:v>
      </x:c>
      <x:c r="B43" s="58" t="str">
        <x:v>Минеральные воды</x:v>
      </x:c>
      <x:c r="C43" s="57" t="str">
        <x:v>MRV</x:v>
      </x:c>
      <x:c r="D43" s="59" t="str">
        <x:v>Минеральные Воды</x:v>
      </x:c>
      <x:c r="E43" s="58" t="str">
        <x:v>Аэропорт</x:v>
      </x:c>
      <x:c r="F43" s="59" t="str">
        <x:v>Бештау</x:v>
      </x:c>
      <x:c r="G43" s="57" t="str">
        <x:v>—</x:v>
      </x:c>
      <x:c r="H43" s="57" t="str">
        <x:v>2</x:v>
      </x:c>
      <x:c r="I43" s="57" t="str">
        <x:v>Внутренний</x:v>
      </x:c>
      <x:c r="J43" s="57" t="str">
        <x:v>ON·PASS</x:v>
      </x:c>
      <x:c r="K43" s="59" t="str">
        <x:v>Круглосуточно</x:v>
      </x:c>
      <x:c r="L43" s="59" t="str">
        <x:v>Зона после паспортного контроля. Бизнес-зал расположен на 2-м этаже с правой стороны. Только для пассажиров внутренних рейсов</x:v>
      </x:c>
      <x:c r="M43" s="57" t="str">
        <x:v>2 и 3</x:v>
      </x:c>
      <x:c r="N43" s="57" t="str">
        <x:v>Открыт</x:v>
      </x:c>
      <x:c r="O43" s="57" t="n">
        <x:v>180</x:v>
      </x:c>
      <x:c r="P43" s="60" t="str">
        <x:v>https://mir.pass.nspk.ru/sber/ru/lounges?airportCode=MRV&amp;loungeId=180&amp;package=programm6</x:v>
      </x:c>
      <x:c r="Q43" s="61" t="n">
        <x:v>46231</x:v>
      </x:c>
    </x:row>
    <x:row r="44">
      <x:c r="A44" s="57" t="n">
        <x:v>43</x:v>
      </x:c>
      <x:c r="B44" s="58" t="str">
        <x:v>Москва</x:v>
      </x:c>
      <x:c r="C44" s="57" t="str">
        <x:v>VKO</x:v>
      </x:c>
      <x:c r="D44" s="59" t="str">
        <x:v>Внуково</x:v>
      </x:c>
      <x:c r="E44" s="58" t="str">
        <x:v>Аэропорт</x:v>
      </x:c>
      <x:c r="F44" s="59" t="str">
        <x:v>Бизнес-зал ART Lounge</x:v>
      </x:c>
      <x:c r="G44" s="57" t="str">
        <x:v>—</x:v>
      </x:c>
      <x:c r="H44" s="57" t="str">
        <x:v>2</x:v>
      </x:c>
      <x:c r="I44" s="57" t="str">
        <x:v>Внутренний</x:v>
      </x:c>
      <x:c r="J44" s="57" t="str">
        <x:v>ON·PASS</x:v>
      </x:c>
      <x:c r="K44" s="59" t="str">
        <x:v>Круглосуточно</x:v>
      </x:c>
      <x:c r="L44" s="59" t="str">
        <x:v>Терминал А, галерея вылета международных рейсов
📞 8 495 255-21-21</x:v>
      </x:c>
      <x:c r="M44" s="57" t="str">
        <x:v>2 и 3</x:v>
      </x:c>
      <x:c r="N44" s="57" t="str">
        <x:v>Открыт</x:v>
      </x:c>
      <x:c r="O44" s="57" t="n">
        <x:v>94</x:v>
      </x:c>
      <x:c r="P44" s="60" t="str">
        <x:v>https://mir.pass.nspk.ru/sber/ru/lounges?airportCode=VKO&amp;loungeId=94&amp;package=programm6</x:v>
      </x:c>
      <x:c r="Q44" s="61" t="n">
        <x:v>46231</x:v>
      </x:c>
    </x:row>
    <x:row r="45">
      <x:c r="A45" s="57" t="n">
        <x:v>44</x:v>
      </x:c>
      <x:c r="B45" s="58" t="str">
        <x:v>Москва</x:v>
      </x:c>
      <x:c r="C45" s="57" t="str">
        <x:v>VKO</x:v>
      </x:c>
      <x:c r="D45" s="59" t="str">
        <x:v>Внуково</x:v>
      </x:c>
      <x:c r="E45" s="58" t="str">
        <x:v>Аэропорт</x:v>
      </x:c>
      <x:c r="F45" s="59" t="str">
        <x:v>Бизнес-зал Prokofiev Lounge</x:v>
      </x:c>
      <x:c r="G45" s="57" t="str">
        <x:v>—</x:v>
      </x:c>
      <x:c r="H45" s="57" t="str">
        <x:v>2</x:v>
      </x:c>
      <x:c r="I45" s="57" t="str">
        <x:v>Внутренний</x:v>
      </x:c>
      <x:c r="J45" s="57" t="str">
        <x:v>ON·PASS</x:v>
      </x:c>
      <x:c r="K45" s="59" t="str">
        <x:v>Круглосуточно</x:v>
      </x:c>
      <x:c r="L45" s="59" t="str">
        <x:v>Терминал А, галерея вылета внутренних рейсов, напротив выхода на посадку №13, 2-й этаж
📞 8 495 255-21-21</x:v>
      </x:c>
      <x:c r="M45" s="57" t="str">
        <x:v>2 и 3</x:v>
      </x:c>
      <x:c r="N45" s="57" t="str">
        <x:v>Открыт</x:v>
      </x:c>
      <x:c r="O45" s="57" t="n">
        <x:v>95</x:v>
      </x:c>
      <x:c r="P45" s="60" t="str">
        <x:v>https://mir.pass.nspk.ru/sber/ru/lounges?airportCode=VKO&amp;loungeId=95&amp;package=programm6</x:v>
      </x:c>
      <x:c r="Q45" s="61" t="n">
        <x:v>46231</x:v>
      </x:c>
    </x:row>
    <x:row r="46">
      <x:c r="A46" s="57" t="n">
        <x:v>45</x:v>
      </x:c>
      <x:c r="B46" s="58" t="str">
        <x:v>Москва</x:v>
      </x:c>
      <x:c r="C46" s="57" t="str">
        <x:v>VKO</x:v>
      </x:c>
      <x:c r="D46" s="59" t="str">
        <x:v>Внуково</x:v>
      </x:c>
      <x:c r="E46" s="58" t="str">
        <x:v>Аэропорт</x:v>
      </x:c>
      <x:c r="F46" s="59" t="str">
        <x:v>Бизнес-зал VIP Lounge</x:v>
      </x:c>
      <x:c r="G46" s="57" t="str">
        <x:v>—</x:v>
      </x:c>
      <x:c r="H46" s="57" t="str">
        <x:v>3</x:v>
      </x:c>
      <x:c r="I46" s="57" t="str">
        <x:v>Внутренний</x:v>
      </x:c>
      <x:c r="J46" s="57" t="str">
        <x:v>ON·PASS</x:v>
      </x:c>
      <x:c r="K46" s="59" t="str">
        <x:v>Круглосуточно</x:v>
      </x:c>
      <x:c r="L46" s="59" t="str">
        <x:v>Терминал А, общая зона, 3-й этаж
📞 8 495 255-21-21</x:v>
      </x:c>
      <x:c r="M46" s="57" t="str">
        <x:v>2 и 3</x:v>
      </x:c>
      <x:c r="N46" s="57" t="str">
        <x:v>Открыт</x:v>
      </x:c>
      <x:c r="O46" s="57" t="n">
        <x:v>96</x:v>
      </x:c>
      <x:c r="P46" s="60" t="str">
        <x:v>https://mir.pass.nspk.ru/sber/ru/lounges?airportCode=VKO&amp;loungeId=96&amp;package=programm6</x:v>
      </x:c>
      <x:c r="Q46" s="61" t="n">
        <x:v>46231</x:v>
      </x:c>
    </x:row>
    <x:row r="47">
      <x:c r="A47" s="57" t="n">
        <x:v>46</x:v>
      </x:c>
      <x:c r="B47" s="58" t="str">
        <x:v>Москва</x:v>
      </x:c>
      <x:c r="C47" s="57" t="str">
        <x:v>DME</x:v>
      </x:c>
      <x:c r="D47" s="59" t="str">
        <x:v>Домодедово</x:v>
      </x:c>
      <x:c r="E47" s="58" t="str">
        <x:v>Аэропорт</x:v>
      </x:c>
      <x:c r="F47" s="59" t="str">
        <x:v>Бизнес-зал "МЕРИДИАН"</x:v>
      </x:c>
      <x:c r="G47" s="57" t="str">
        <x:v>—</x:v>
      </x:c>
      <x:c r="H47" s="57" t="str">
        <x:v>-1</x:v>
      </x:c>
      <x:c r="I47" s="57" t="str">
        <x:v>Международный</x:v>
      </x:c>
      <x:c r="J47" s="57" t="str">
        <x:v>ON·PASS</x:v>
      </x:c>
      <x:c r="K47" s="59" t="str">
        <x:v>Круглосуточно</x:v>
      </x:c>
      <x:c r="L47" s="59" t="str">
        <x:v>Зона вылета международных рейсов, Сектор Е</x:v>
      </x:c>
      <x:c r="M47" s="57" t="str">
        <x:v>2 и 3</x:v>
      </x:c>
      <x:c r="N47" s="57" t="str">
        <x:v>Открыт</x:v>
      </x:c>
      <x:c r="O47" s="57" t="n">
        <x:v>733</x:v>
      </x:c>
      <x:c r="P47" s="60" t="str">
        <x:v>https://mir.pass.nspk.ru/sber/ru/lounges?airportCode=DME&amp;loungeId=733&amp;package=programm6</x:v>
      </x:c>
      <x:c r="Q47" s="61" t="n">
        <x:v>46231</x:v>
      </x:c>
    </x:row>
    <x:row r="48">
      <x:c r="A48" s="57" t="n">
        <x:v>47</x:v>
      </x:c>
      <x:c r="B48" s="58" t="str">
        <x:v>Москва</x:v>
      </x:c>
      <x:c r="C48" s="57" t="str">
        <x:v>DME</x:v>
      </x:c>
      <x:c r="D48" s="59" t="str">
        <x:v>Домодедово</x:v>
      </x:c>
      <x:c r="E48" s="58" t="str">
        <x:v>Аэропорт</x:v>
      </x:c>
      <x:c r="F48" s="59" t="str">
        <x:v>Бизнес-зал "РАДИУС"</x:v>
      </x:c>
      <x:c r="G48" s="57" t="str">
        <x:v>—</x:v>
      </x:c>
      <x:c r="H48" s="57" t="str">
        <x:v>2</x:v>
      </x:c>
      <x:c r="I48" s="57" t="str">
        <x:v>Внутренний</x:v>
      </x:c>
      <x:c r="J48" s="57" t="str">
        <x:v>ON·PASS</x:v>
      </x:c>
      <x:c r="K48" s="59" t="str">
        <x:v>Круглосуточно</x:v>
      </x:c>
      <x:c r="L48" s="59" t="str">
        <x:v>Зона вылета внутренних рейсов, Сектор C</x:v>
      </x:c>
      <x:c r="M48" s="57" t="str">
        <x:v>2 и 3</x:v>
      </x:c>
      <x:c r="N48" s="57" t="str">
        <x:v>Открыт</x:v>
      </x:c>
      <x:c r="O48" s="57" t="n">
        <x:v>734</x:v>
      </x:c>
      <x:c r="P48" s="60" t="str">
        <x:v>https://mir.pass.nspk.ru/sber/ru/lounges?airportCode=DME&amp;loungeId=734&amp;package=programm6</x:v>
      </x:c>
      <x:c r="Q48" s="61" t="n">
        <x:v>46231</x:v>
      </x:c>
    </x:row>
    <x:row r="49">
      <x:c r="A49" s="57" t="n">
        <x:v>48</x:v>
      </x:c>
      <x:c r="B49" s="58" t="str">
        <x:v>Москва</x:v>
      </x:c>
      <x:c r="C49" s="57" t="str">
        <x:v>DME</x:v>
      </x:c>
      <x:c r="D49" s="59" t="str">
        <x:v>Домодедово</x:v>
      </x:c>
      <x:c r="E49" s="58" t="str">
        <x:v>Аэропорт</x:v>
      </x:c>
      <x:c r="F49" s="59" t="str">
        <x:v>Бизнес-зал "Шостакович"</x:v>
      </x:c>
      <x:c r="G49" s="57" t="str">
        <x:v>—</x:v>
      </x:c>
      <x:c r="H49" s="57" t="str">
        <x:v>1</x:v>
      </x:c>
      <x:c r="I49" s="57" t="str">
        <x:v>Внутренний</x:v>
      </x:c>
      <x:c r="J49" s="57" t="str">
        <x:v>ON·PASS</x:v>
      </x:c>
      <x:c r="K49" s="59" t="str">
        <x:v>Круглосуточно</x:v>
      </x:c>
      <x:c r="L49" s="59" t="str">
        <x:v>Галерея ВВЛ, 1-ый этаж, напротив  выхода С-13
✈️  Для пассажиров внутренних воздушных линий</x:v>
      </x:c>
      <x:c r="M49" s="57" t="str">
        <x:v>2 и 3</x:v>
      </x:c>
      <x:c r="N49" s="57" t="str">
        <x:v>Временно закрыт</x:v>
      </x:c>
      <x:c r="O49" s="57" t="n">
        <x:v>190</x:v>
      </x:c>
      <x:c r="P49" s="60" t="str">
        <x:v>https://mir.pass.nspk.ru/sber/ru/lounges?airportCode=DME&amp;loungeId=190&amp;package=programm6</x:v>
      </x:c>
      <x:c r="Q49" s="61" t="n">
        <x:v>46231</x:v>
      </x:c>
    </x:row>
    <x:row r="50">
      <x:c r="A50" s="57" t="n">
        <x:v>49</x:v>
      </x:c>
      <x:c r="B50" s="58" t="str">
        <x:v>Москва</x:v>
      </x:c>
      <x:c r="C50" s="57" t="str">
        <x:v>DME</x:v>
      </x:c>
      <x:c r="D50" s="59" t="str">
        <x:v>Домодедово</x:v>
      </x:c>
      <x:c r="E50" s="58" t="str">
        <x:v>Аэропорт</x:v>
      </x:c>
      <x:c r="F50" s="59" t="str">
        <x:v>Бизнес-зал в зоне вылета ВВЛ</x:v>
      </x:c>
      <x:c r="G50" s="57" t="str">
        <x:v>—</x:v>
      </x:c>
      <x:c r="H50" s="57" t="str">
        <x:v>2</x:v>
      </x:c>
      <x:c r="I50" s="57" t="str">
        <x:v>Внутренний</x:v>
      </x:c>
      <x:c r="J50" s="57" t="str">
        <x:v>ON·PASS</x:v>
      </x:c>
      <x:c r="K50" s="59" t="str">
        <x:v>Круглосуточно</x:v>
      </x:c>
      <x:c r="L50" s="59" t="str">
        <x:v>Зона вылета внутренних рейсов, второй этаж.
✈️  Для пассажиров внутренних воздушных линий</x:v>
      </x:c>
      <x:c r="M50" s="57" t="str">
        <x:v>2 и 3</x:v>
      </x:c>
      <x:c r="N50" s="57" t="str">
        <x:v>Открыт</x:v>
      </x:c>
      <x:c r="O50" s="57" t="n">
        <x:v>149</x:v>
      </x:c>
      <x:c r="P50" s="60" t="str">
        <x:v>https://mir.pass.nspk.ru/sber/ru/lounges?airportCode=DME&amp;loungeId=149&amp;package=programm6</x:v>
      </x:c>
      <x:c r="Q50" s="61" t="n">
        <x:v>46231</x:v>
      </x:c>
    </x:row>
    <x:row r="51">
      <x:c r="A51" s="57" t="n">
        <x:v>50</x:v>
      </x:c>
      <x:c r="B51" s="58" t="str">
        <x:v>Москва</x:v>
      </x:c>
      <x:c r="C51" s="57" t="str">
        <x:v>DME</x:v>
      </x:c>
      <x:c r="D51" s="59" t="str">
        <x:v>Домодедово</x:v>
      </x:c>
      <x:c r="E51" s="58" t="str">
        <x:v>Аэропорт</x:v>
      </x:c>
      <x:c r="F51" s="59" t="str">
        <x:v>Бизнес-зал в зоне вылета МВЛ</x:v>
      </x:c>
      <x:c r="G51" s="57" t="str">
        <x:v>—</x:v>
      </x:c>
      <x:c r="H51" s="57" t="str">
        <x:v>2</x:v>
      </x:c>
      <x:c r="I51" s="57" t="str">
        <x:v>Внутренний</x:v>
      </x:c>
      <x:c r="J51" s="57" t="str">
        <x:v>ON·PASS</x:v>
      </x:c>
      <x:c r="K51" s="59" t="str">
        <x:v>Круглосуточно</x:v>
      </x:c>
      <x:c r="L51" s="59" t="str">
        <x:v>Зона вылета международных рейсов, второй этаж
✈️  Для пассажиров международных воздушных линий</x:v>
      </x:c>
      <x:c r="M51" s="57" t="str">
        <x:v>2 и 3</x:v>
      </x:c>
      <x:c r="N51" s="57" t="str">
        <x:v>Открыт</x:v>
      </x:c>
      <x:c r="O51" s="57" t="n">
        <x:v>150</x:v>
      </x:c>
      <x:c r="P51" s="60" t="str">
        <x:v>https://mir.pass.nspk.ru/sber/ru/lounges?airportCode=DME&amp;loungeId=150&amp;package=programm6</x:v>
      </x:c>
      <x:c r="Q51" s="61" t="n">
        <x:v>46231</x:v>
      </x:c>
    </x:row>
    <x:row r="52">
      <x:c r="A52" s="57" t="n">
        <x:v>51</x:v>
      </x:c>
      <x:c r="B52" s="58" t="str">
        <x:v>Москва</x:v>
      </x:c>
      <x:c r="C52" s="57" t="str">
        <x:v>DME</x:v>
      </x:c>
      <x:c r="D52" s="59" t="str">
        <x:v>Домодедово</x:v>
      </x:c>
      <x:c r="E52" s="58" t="str">
        <x:v>Аэропорт</x:v>
      </x:c>
      <x:c r="F52" s="59" t="str">
        <x:v>Бизнес-зал ТЕСТ</x:v>
      </x:c>
      <x:c r="G52" s="57" t="str">
        <x:v>—</x:v>
      </x:c>
      <x:c r="H52" s="57" t="str">
        <x:v>1</x:v>
      </x:c>
      <x:c r="I52" s="57" t="str">
        <x:v>Внутренний</x:v>
      </x:c>
      <x:c r="J52" s="57" t="str">
        <x:v>ON·PASS</x:v>
      </x:c>
      <x:c r="K52" s="59" t="str">
        <x:v>Не указано</x:v>
      </x:c>
      <x:c r="L52" s="59" t="str">
        <x:v>Не указано</x:v>
      </x:c>
      <x:c r="M52" s="57" t="str">
        <x:v>2 и 3</x:v>
      </x:c>
      <x:c r="N52" s="57" t="str">
        <x:v>Открыт</x:v>
      </x:c>
      <x:c r="O52" s="57" t="n">
        <x:v>486</x:v>
      </x:c>
      <x:c r="P52" s="60" t="str">
        <x:v>https://mir.pass.nspk.ru/sber/ru/lounges?airportCode=DME&amp;loungeId=486&amp;package=programm6</x:v>
      </x:c>
      <x:c r="Q52" s="61" t="n">
        <x:v>46231</x:v>
      </x:c>
    </x:row>
    <x:row r="53">
      <x:c r="A53" s="57" t="n">
        <x:v>52</x:v>
      </x:c>
      <x:c r="B53" s="58" t="str">
        <x:v>Москва</x:v>
      </x:c>
      <x:c r="C53" s="57" t="str">
        <x:v>DME</x:v>
      </x:c>
      <x:c r="D53" s="59" t="str">
        <x:v>Домодедово</x:v>
      </x:c>
      <x:c r="E53" s="58" t="str">
        <x:v>Аэропорт</x:v>
      </x:c>
      <x:c r="F53" s="59" t="str">
        <x:v>Бизнес-зал S7, ВВЛ</x:v>
      </x:c>
      <x:c r="G53" s="57" t="str">
        <x:v>—</x:v>
      </x:c>
      <x:c r="H53" s="57" t="str">
        <x:v>3</x:v>
      </x:c>
      <x:c r="I53" s="57" t="str">
        <x:v>Внутренний</x:v>
      </x:c>
      <x:c r="J53" s="57" t="str">
        <x:v>ON·PASS</x:v>
      </x:c>
      <x:c r="K53" s="59" t="str">
        <x:v>Круглосуточно</x:v>
      </x:c>
      <x:c r="L53" s="59" t="str">
        <x:v>Бизнес-зал расположен на 3-м этаже аэровокзального комплекса. Только для пассажиров внутренних рейсов</x:v>
      </x:c>
      <x:c r="M53" s="57" t="str">
        <x:v>2 и 3</x:v>
      </x:c>
      <x:c r="N53" s="57" t="str">
        <x:v>Открыт</x:v>
      </x:c>
      <x:c r="O53" s="57" t="n">
        <x:v>314</x:v>
      </x:c>
      <x:c r="P53" s="60" t="str">
        <x:v>https://mir.pass.nspk.ru/sber/ru/lounges?airportCode=DME&amp;loungeId=314&amp;package=programm6</x:v>
      </x:c>
      <x:c r="Q53" s="61" t="n">
        <x:v>46231</x:v>
      </x:c>
    </x:row>
    <x:row r="54">
      <x:c r="A54" s="57" t="n">
        <x:v>53</x:v>
      </x:c>
      <x:c r="B54" s="58" t="str">
        <x:v>Москва</x:v>
      </x:c>
      <x:c r="C54" s="57" t="str">
        <x:v>DME</x:v>
      </x:c>
      <x:c r="D54" s="59" t="str">
        <x:v>Домодедово</x:v>
      </x:c>
      <x:c r="E54" s="58" t="str">
        <x:v>Аэропорт</x:v>
      </x:c>
      <x:c r="F54" s="59" t="str">
        <x:v>Бизнес-зал S7, МВЛ</x:v>
      </x:c>
      <x:c r="G54" s="57" t="str">
        <x:v>—</x:v>
      </x:c>
      <x:c r="H54" s="57" t="str">
        <x:v>3</x:v>
      </x:c>
      <x:c r="I54" s="57" t="str">
        <x:v>Внутренний</x:v>
      </x:c>
      <x:c r="J54" s="57" t="str">
        <x:v>ON·PASS</x:v>
      </x:c>
      <x:c r="K54" s="59" t="str">
        <x:v>Круглосуточно</x:v>
      </x:c>
      <x:c r="L54" s="59" t="str">
        <x:v>Бизнес-зал расположен на 3-м этаже аэровокзального комплекса. Только для пассажиров международных рейсов</x:v>
      </x:c>
      <x:c r="M54" s="57" t="str">
        <x:v>2 и 3</x:v>
      </x:c>
      <x:c r="N54" s="57" t="str">
        <x:v>Открыт</x:v>
      </x:c>
      <x:c r="O54" s="57" t="n">
        <x:v>315</x:v>
      </x:c>
      <x:c r="P54" s="60" t="str">
        <x:v>https://mir.pass.nspk.ru/sber/ru/lounges?airportCode=DME&amp;loungeId=315&amp;package=programm6</x:v>
      </x:c>
      <x:c r="Q54" s="61" t="n">
        <x:v>46231</x:v>
      </x:c>
    </x:row>
    <x:row r="55">
      <x:c r="A55" s="57" t="n">
        <x:v>54</x:v>
      </x:c>
      <x:c r="B55" s="58" t="str">
        <x:v>Москва</x:v>
      </x:c>
      <x:c r="C55" s="57" t="str">
        <x:v>DME</x:v>
      </x:c>
      <x:c r="D55" s="59" t="str">
        <x:v>Домодедово</x:v>
      </x:c>
      <x:c r="E55" s="58" t="str">
        <x:v>Аэропорт</x:v>
      </x:c>
      <x:c r="F55" s="59" t="str">
        <x:v>Зал S7 Комфорт, ВВЛ</x:v>
      </x:c>
      <x:c r="G55" s="57" t="str">
        <x:v>—</x:v>
      </x:c>
      <x:c r="H55" s="57" t="str">
        <x:v>2</x:v>
      </x:c>
      <x:c r="I55" s="57" t="str">
        <x:v>Внутренний</x:v>
      </x:c>
      <x:c r="J55" s="57" t="str">
        <x:v>ON·PASS</x:v>
      </x:c>
      <x:c r="K55" s="59" t="str">
        <x:v>Круглосуточно</x:v>
      </x:c>
      <x:c r="L55" s="59" t="str">
        <x:v>Зал S7 Комфорт расположен на 2-м этаже аэровокзального комплекса. Только для пассажиров внутренних рейсов</x:v>
      </x:c>
      <x:c r="M55" s="57" t="str">
        <x:v>2 и 3</x:v>
      </x:c>
      <x:c r="N55" s="57" t="str">
        <x:v>Открыт</x:v>
      </x:c>
      <x:c r="O55" s="57" t="n">
        <x:v>313</x:v>
      </x:c>
      <x:c r="P55" s="60" t="str">
        <x:v>https://mir.pass.nspk.ru/sber/ru/lounges?airportCode=DME&amp;loungeId=313&amp;package=programm6</x:v>
      </x:c>
      <x:c r="Q55" s="61" t="n">
        <x:v>46231</x:v>
      </x:c>
    </x:row>
    <x:row r="56">
      <x:c r="A56" s="57" t="n">
        <x:v>55</x:v>
      </x:c>
      <x:c r="B56" s="58" t="str">
        <x:v>Москва</x:v>
      </x:c>
      <x:c r="C56" s="57" t="str">
        <x:v>DME</x:v>
      </x:c>
      <x:c r="D56" s="59" t="str">
        <x:v>Домодедово</x:v>
      </x:c>
      <x:c r="E56" s="58" t="str">
        <x:v>Аэропорт</x:v>
      </x:c>
      <x:c r="F56" s="59" t="str">
        <x:v>MILEONAIR Lounge</x:v>
      </x:c>
      <x:c r="G56" s="57" t="str">
        <x:v>—</x:v>
      </x:c>
      <x:c r="H56" s="57" t="str">
        <x:v>1</x:v>
      </x:c>
      <x:c r="I56" s="57" t="str">
        <x:v>Международный</x:v>
      </x:c>
      <x:c r="J56" s="57" t="str">
        <x:v>ON·PASS</x:v>
      </x:c>
      <x:c r="K56" s="59" t="str">
        <x:v>Круглосуточно</x:v>
      </x:c>
      <x:c r="L56" s="59" t="str">
        <x:v>Расположен на первом этаже в центре зала вылета, терминал внутренних линий, напротив стойки информации</x:v>
      </x:c>
      <x:c r="M56" s="57" t="str">
        <x:v>2 и 3</x:v>
      </x:c>
      <x:c r="N56" s="57" t="str">
        <x:v>Открыт</x:v>
      </x:c>
      <x:c r="O56" s="57" t="n">
        <x:v>420</x:v>
      </x:c>
      <x:c r="P56" s="60" t="str">
        <x:v>https://mir.pass.nspk.ru/sber/ru/lounges?airportCode=DME&amp;loungeId=420&amp;package=programm6</x:v>
      </x:c>
      <x:c r="Q56" s="61" t="n">
        <x:v>46231</x:v>
      </x:c>
    </x:row>
    <x:row r="57">
      <x:c r="A57" s="57" t="n">
        <x:v>56</x:v>
      </x:c>
      <x:c r="B57" s="58" t="str">
        <x:v>Москва</x:v>
      </x:c>
      <x:c r="C57" s="57" t="str">
        <x:v>ZIA</x:v>
      </x:c>
      <x:c r="D57" s="59" t="str">
        <x:v>Жуковский</x:v>
      </x:c>
      <x:c r="E57" s="58" t="str">
        <x:v>Ж/д вокзал</x:v>
      </x:c>
      <x:c r="F57" s="59" t="str">
        <x:v>Бизнес-зал</x:v>
      </x:c>
      <x:c r="G57" s="57" t="str">
        <x:v>—</x:v>
      </x:c>
      <x:c r="H57" s="57" t="str">
        <x:v>2</x:v>
      </x:c>
      <x:c r="I57" s="57" t="str">
        <x:v>Не применяется</x:v>
      </x:c>
      <x:c r="J57" s="57" t="str">
        <x:v>ON·PASS</x:v>
      </x:c>
      <x:c r="K57" s="59" t="str">
        <x:v>Круглосуточно</x:v>
      </x:c>
      <x:c r="L57" s="59" t="str">
        <x:v>Зал расположен на 2-м этаже общей зоны аэропорта. Вход c вывеской «Зал повышенного комфорта» находится напротив лифта.
✈️ Для пассажиров внутренних и международных рейсов</x:v>
      </x:c>
      <x:c r="M57" s="57" t="str">
        <x:v>2 и 3</x:v>
      </x:c>
      <x:c r="N57" s="57" t="str">
        <x:v>Открыт</x:v>
      </x:c>
      <x:c r="O57" s="57" t="n">
        <x:v>344</x:v>
      </x:c>
      <x:c r="P57" s="60" t="str">
        <x:v>https://mir.pass.nspk.ru/sber/ru/lounges?airportCode=ZIA&amp;loungeId=344&amp;package=programm6</x:v>
      </x:c>
      <x:c r="Q57" s="61" t="n">
        <x:v>46231</x:v>
      </x:c>
    </x:row>
    <x:row r="58">
      <x:c r="A58" s="57" t="n">
        <x:v>57</x:v>
      </x:c>
      <x:c r="B58" s="58" t="str">
        <x:v>Москва</x:v>
      </x:c>
      <x:c r="C58" s="57" t="str">
        <x:v>ZKD</x:v>
      </x:c>
      <x:c r="D58" s="59" t="str">
        <x:v>Ленинградский вокзал</x:v>
      </x:c>
      <x:c r="E58" s="58" t="str">
        <x:v>Ж/д вокзал</x:v>
      </x:c>
      <x:c r="F58" s="59" t="str">
        <x:v>Бизнес-зал</x:v>
      </x:c>
      <x:c r="G58" s="57" t="str">
        <x:v>—</x:v>
      </x:c>
      <x:c r="H58" s="57" t="str">
        <x:v>1</x:v>
      </x:c>
      <x:c r="I58" s="57" t="str">
        <x:v>Не применяется</x:v>
      </x:c>
      <x:c r="J58" s="57" t="str">
        <x:v>ON·PASS</x:v>
      </x:c>
      <x:c r="K58" s="59" t="str">
        <x:v>Круглосуточно</x:v>
      </x:c>
      <x:c r="L58" s="59" t="str">
        <x:v>Бизнес-зал расположен на 1 этаже, справа перед выходом из здания вокзала к пассажирским платформам.</x:v>
      </x:c>
      <x:c r="M58" s="57" t="str">
        <x:v>2 и 3</x:v>
      </x:c>
      <x:c r="N58" s="57" t="str">
        <x:v>Открыт</x:v>
      </x:c>
      <x:c r="O58" s="57" t="n">
        <x:v>68</x:v>
      </x:c>
      <x:c r="P58" s="60" t="str">
        <x:v>https://mir.pass.nspk.ru/sber/ru/lounges?airportCode=ZKD&amp;loungeId=68&amp;package=programm6</x:v>
      </x:c>
      <x:c r="Q58" s="61" t="n">
        <x:v>46231</x:v>
      </x:c>
    </x:row>
    <x:row r="59">
      <x:c r="A59" s="57" t="n">
        <x:v>58</x:v>
      </x:c>
      <x:c r="B59" s="58" t="str">
        <x:v>Москва</x:v>
      </x:c>
      <x:c r="C59" s="57" t="str">
        <x:v>XRK</x:v>
      </x:c>
      <x:c r="D59" s="59" t="str">
        <x:v>Павелецкий вокзал</x:v>
      </x:c>
      <x:c r="E59" s="58" t="str">
        <x:v>Ж/д вокзал</x:v>
      </x:c>
      <x:c r="F59" s="59" t="str">
        <x:v>Бизнес-зал</x:v>
      </x:c>
      <x:c r="G59" s="57" t="str">
        <x:v>—</x:v>
      </x:c>
      <x:c r="H59" s="57" t="str">
        <x:v>1</x:v>
      </x:c>
      <x:c r="I59" s="57" t="str">
        <x:v>Не применяется</x:v>
      </x:c>
      <x:c r="J59" s="57" t="str">
        <x:v>ON·PASS</x:v>
      </x:c>
      <x:c r="K59" s="59" t="str">
        <x:v>Круглосуточно</x:v>
      </x:c>
      <x:c r="L59" s="59" t="str">
        <x:v>Бизнес-зал расположен на 1 этаже вокзала, проход – через 1 подъезд.</x:v>
      </x:c>
      <x:c r="M59" s="57" t="str">
        <x:v>2 и 3</x:v>
      </x:c>
      <x:c r="N59" s="57" t="str">
        <x:v>Открыт</x:v>
      </x:c>
      <x:c r="O59" s="57" t="n">
        <x:v>67</x:v>
      </x:c>
      <x:c r="P59" s="60" t="str">
        <x:v>https://mir.pass.nspk.ru/sber/ru/lounges?airportCode=XRK&amp;loungeId=67&amp;package=programm6</x:v>
      </x:c>
      <x:c r="Q59" s="61" t="n">
        <x:v>46231</x:v>
      </x:c>
    </x:row>
    <x:row r="60">
      <x:c r="A60" s="57" t="n">
        <x:v>59</x:v>
      </x:c>
      <x:c r="B60" s="58" t="str">
        <x:v>Москва</x:v>
      </x:c>
      <x:c r="C60" s="57" t="str">
        <x:v>SVO</x:v>
      </x:c>
      <x:c r="D60" s="59" t="str">
        <x:v>Шереметьево</x:v>
      </x:c>
      <x:c r="E60" s="58" t="str">
        <x:v>Аэропорт</x:v>
      </x:c>
      <x:c r="F60" s="59" t="str">
        <x:v>Бизнес-зал «Шагал»</x:v>
      </x:c>
      <x:c r="G60" s="57" t="str">
        <x:v>—</x:v>
      </x:c>
      <x:c r="H60" s="57" t="str">
        <x:v>3</x:v>
      </x:c>
      <x:c r="I60" s="57" t="str">
        <x:v>Внутренний</x:v>
      </x:c>
      <x:c r="J60" s="57" t="str">
        <x:v>ON·PASS</x:v>
      </x:c>
      <x:c r="K60" s="59" t="str">
        <x:v>Круглосуточно</x:v>
      </x:c>
      <x:c r="L60" s="59" t="str">
        <x:v>Терминал С, зона вылета. Зал расположен в галерее вылета рядом с выходом на посадку 126.
</x:v>
      </x:c>
      <x:c r="M60" s="57" t="str">
        <x:v>2 и 3</x:v>
      </x:c>
      <x:c r="N60" s="57" t="str">
        <x:v>Открыт</x:v>
      </x:c>
      <x:c r="O60" s="57" t="n">
        <x:v>254</x:v>
      </x:c>
      <x:c r="P60" s="60" t="str">
        <x:v>https://mir.pass.nspk.ru/sber/ru/lounges?airportCode=SVO&amp;loungeId=254&amp;package=programm6</x:v>
      </x:c>
      <x:c r="Q60" s="61" t="n">
        <x:v>46231</x:v>
      </x:c>
    </x:row>
    <x:row r="61">
      <x:c r="A61" s="57" t="n">
        <x:v>60</x:v>
      </x:c>
      <x:c r="B61" s="58" t="str">
        <x:v>Мурманск</x:v>
      </x:c>
      <x:c r="C61" s="57" t="str">
        <x:v>MMK</x:v>
      </x:c>
      <x:c r="D61" s="59" t="str">
        <x:v>Мурманск</x:v>
      </x:c>
      <x:c r="E61" s="58" t="str">
        <x:v>Аэропорт</x:v>
      </x:c>
      <x:c r="F61" s="59" t="str">
        <x:v>Бизнес-зал</x:v>
      </x:c>
      <x:c r="G61" s="57" t="str">
        <x:v>—</x:v>
      </x:c>
      <x:c r="H61" s="57" t="str">
        <x:v>2</x:v>
      </x:c>
      <x:c r="I61" s="57" t="str">
        <x:v>Внутренний</x:v>
      </x:c>
      <x:c r="J61" s="57" t="str">
        <x:v>ON·PASS</x:v>
      </x:c>
      <x:c r="K61" s="59" t="str">
        <x:v>Круглосуточно</x:v>
      </x:c>
      <x:c r="L61" s="59" t="str">
        <x:v>ЗПК находится после зоны предполетного досмотра на 2 этаже</x:v>
      </x:c>
      <x:c r="M61" s="57" t="str">
        <x:v>2 и 3</x:v>
      </x:c>
      <x:c r="N61" s="57" t="str">
        <x:v>Открыт</x:v>
      </x:c>
      <x:c r="O61" s="57" t="n">
        <x:v>148</x:v>
      </x:c>
      <x:c r="P61" s="60" t="str">
        <x:v>https://mir.pass.nspk.ru/sber/ru/lounges?airportCode=MMK&amp;loungeId=148&amp;package=programm6</x:v>
      </x:c>
      <x:c r="Q61" s="61" t="n">
        <x:v>46231</x:v>
      </x:c>
    </x:row>
    <x:row r="62">
      <x:c r="A62" s="57" t="n">
        <x:v>61</x:v>
      </x:c>
      <x:c r="B62" s="58" t="str">
        <x:v>Набережные Челны</x:v>
      </x:c>
      <x:c r="C62" s="57" t="str">
        <x:v>NBC</x:v>
      </x:c>
      <x:c r="D62" s="59" t="str">
        <x:v>Бегишево</x:v>
      </x:c>
      <x:c r="E62" s="58" t="str">
        <x:v>Аэропорт</x:v>
      </x:c>
      <x:c r="F62" s="59" t="str">
        <x:v>Бизнес-зал</x:v>
      </x:c>
      <x:c r="G62" s="57" t="str">
        <x:v>—</x:v>
      </x:c>
      <x:c r="H62" s="57" t="str">
        <x:v>2</x:v>
      </x:c>
      <x:c r="I62" s="57" t="str">
        <x:v>Внутренний</x:v>
      </x:c>
      <x:c r="J62" s="57" t="str">
        <x:v>ON·PASS</x:v>
      </x:c>
      <x:c r="K62" s="59" t="str">
        <x:v>Круглосуточно</x:v>
      </x:c>
      <x:c r="L62" s="59" t="str">
        <x:v>После прохождения регистрации билетов и оформления багажа, вход в зону предполетного досмотра. Бизнес-зал расположен на 2-м этаже в секторе федеральных вылетов</x:v>
      </x:c>
      <x:c r="M62" s="57" t="str">
        <x:v>2 и 3</x:v>
      </x:c>
      <x:c r="N62" s="57" t="str">
        <x:v>Открыт</x:v>
      </x:c>
      <x:c r="O62" s="57" t="n">
        <x:v>179</x:v>
      </x:c>
      <x:c r="P62" s="60" t="str">
        <x:v>https://mir.pass.nspk.ru/sber/ru/lounges?airportCode=NBC&amp;loungeId=179&amp;package=programm6</x:v>
      </x:c>
      <x:c r="Q62" s="61" t="n">
        <x:v>46231</x:v>
      </x:c>
    </x:row>
    <x:row r="63">
      <x:c r="A63" s="57" t="n">
        <x:v>62</x:v>
      </x:c>
      <x:c r="B63" s="58" t="str">
        <x:v>Нальчик</x:v>
      </x:c>
      <x:c r="C63" s="57" t="str">
        <x:v>NAL</x:v>
      </x:c>
      <x:c r="D63" s="59" t="str">
        <x:v>Нальчик</x:v>
      </x:c>
      <x:c r="E63" s="58" t="str">
        <x:v>Аэропорт</x:v>
      </x:c>
      <x:c r="F63" s="59" t="str">
        <x:v>VIP-зал</x:v>
      </x:c>
      <x:c r="G63" s="57" t="str">
        <x:v>—</x:v>
      </x:c>
      <x:c r="H63" s="57" t="str">
        <x:v>1</x:v>
      </x:c>
      <x:c r="I63" s="57" t="str">
        <x:v>Внутренний</x:v>
      </x:c>
      <x:c r="J63" s="57" t="str">
        <x:v>ON·PASS</x:v>
      </x:c>
      <x:c r="K63" s="59" t="str">
        <x:v>Круглосуточно</x:v>
      </x:c>
      <x:c r="L63" s="59" t="str">
        <x:v>VIP-зал имеет отдельный вход с возможностью индивидуального подъезда автотранспорта. У входа клиентов встречают специально подготовленные агенты, которые позаботятся о комфортном пребывании VIP-гостей от момента прибытия к терминалу до посадки на борт воздушного судна.</x:v>
      </x:c>
      <x:c r="M63" s="57" t="str">
        <x:v>2 и 3</x:v>
      </x:c>
      <x:c r="N63" s="57" t="str">
        <x:v>Открыт</x:v>
      </x:c>
      <x:c r="O63" s="57" t="n">
        <x:v>228</x:v>
      </x:c>
      <x:c r="P63" s="60" t="str">
        <x:v>https://mir.pass.nspk.ru/sber/ru/lounges?airportCode=NAL&amp;loungeId=228&amp;package=programm6</x:v>
      </x:c>
      <x:c r="Q63" s="61" t="n">
        <x:v>46231</x:v>
      </x:c>
    </x:row>
    <x:row r="64">
      <x:c r="A64" s="57" t="n">
        <x:v>63</x:v>
      </x:c>
      <x:c r="B64" s="58" t="str">
        <x:v>Нижний Новгород</x:v>
      </x:c>
      <x:c r="C64" s="57" t="str">
        <x:v>NNOV</x:v>
      </x:c>
      <x:c r="D64" s="59" t="str">
        <x:v>Вокзал Нижний Новгород</x:v>
      </x:c>
      <x:c r="E64" s="58" t="str">
        <x:v>Ж/д вокзал</x:v>
      </x:c>
      <x:c r="F64" s="59" t="str">
        <x:v>Бизнес-зал</x:v>
      </x:c>
      <x:c r="G64" s="57" t="str">
        <x:v>—</x:v>
      </x:c>
      <x:c r="H64" s="57" t="str">
        <x:v>1</x:v>
      </x:c>
      <x:c r="I64" s="57" t="str">
        <x:v>Не применяется</x:v>
      </x:c>
      <x:c r="J64" s="57" t="str">
        <x:v>ON·PASS</x:v>
      </x:c>
      <x:c r="K64" s="59" t="str">
        <x:v>Круглосуточно</x:v>
      </x:c>
      <x:c r="L64" s="59" t="str">
        <x:v>Бизнес-зал расположен на 1 этаже вокзала, справа перед выходом из здания вокзала к пассажирским платформам</x:v>
      </x:c>
      <x:c r="M64" s="57" t="str">
        <x:v>2 и 3</x:v>
      </x:c>
      <x:c r="N64" s="57" t="str">
        <x:v>Открыт</x:v>
      </x:c>
      <x:c r="O64" s="57" t="n">
        <x:v>71</x:v>
      </x:c>
      <x:c r="P64" s="60" t="str">
        <x:v>https://mir.pass.nspk.ru/sber/ru/lounges?airportCode=NNOV&amp;loungeId=71&amp;package=programm6</x:v>
      </x:c>
      <x:c r="Q64" s="61" t="n">
        <x:v>46231</x:v>
      </x:c>
    </x:row>
    <x:row r="65">
      <x:c r="A65" s="57" t="n">
        <x:v>64</x:v>
      </x:c>
      <x:c r="B65" s="58" t="str">
        <x:v>Нижний Новгород</x:v>
      </x:c>
      <x:c r="C65" s="57" t="str">
        <x:v>GOJ</x:v>
      </x:c>
      <x:c r="D65" s="59" t="str">
        <x:v>Стригино</x:v>
      </x:c>
      <x:c r="E65" s="58" t="str">
        <x:v>Аэропорт</x:v>
      </x:c>
      <x:c r="F65" s="59" t="str">
        <x:v>Зал внутренних рейсов</x:v>
      </x:c>
      <x:c r="G65" s="57" t="str">
        <x:v>—</x:v>
      </x:c>
      <x:c r="H65" s="57" t="str">
        <x:v>2</x:v>
      </x:c>
      <x:c r="I65" s="57" t="str">
        <x:v>Внутренний</x:v>
      </x:c>
      <x:c r="J65" s="57" t="str">
        <x:v>ON·PASS</x:v>
      </x:c>
      <x:c r="K65" s="59" t="str">
        <x:v>Круглосуточно</x:v>
      </x:c>
      <x:c r="L65" s="59" t="str">
        <x:v>Зал расположен на втором этаже в зоне внутренних рейсов сразу за предполетным досмотром</x:v>
      </x:c>
      <x:c r="M65" s="57" t="str">
        <x:v>2 и 3</x:v>
      </x:c>
      <x:c r="N65" s="57" t="str">
        <x:v>Открыт</x:v>
      </x:c>
      <x:c r="O65" s="57" t="n">
        <x:v>120</x:v>
      </x:c>
      <x:c r="P65" s="60" t="str">
        <x:v>https://mir.pass.nspk.ru/sber/ru/lounges?airportCode=GOJ&amp;loungeId=120&amp;package=programm6</x:v>
      </x:c>
      <x:c r="Q65" s="61" t="n">
        <x:v>46231</x:v>
      </x:c>
    </x:row>
    <x:row r="66">
      <x:c r="A66" s="57" t="n">
        <x:v>65</x:v>
      </x:c>
      <x:c r="B66" s="58" t="str">
        <x:v>Нижний Новгород</x:v>
      </x:c>
      <x:c r="C66" s="57" t="str">
        <x:v>GOJ</x:v>
      </x:c>
      <x:c r="D66" s="59" t="str">
        <x:v>Стригино</x:v>
      </x:c>
      <x:c r="E66" s="58" t="str">
        <x:v>Аэропорт</x:v>
      </x:c>
      <x:c r="F66" s="59" t="str">
        <x:v>Зал международных рейсов</x:v>
      </x:c>
      <x:c r="G66" s="57" t="str">
        <x:v>—</x:v>
      </x:c>
      <x:c r="H66" s="57" t="str">
        <x:v>2</x:v>
      </x:c>
      <x:c r="I66" s="57" t="str">
        <x:v>Внутренний</x:v>
      </x:c>
      <x:c r="J66" s="57" t="str">
        <x:v>ON·PASS</x:v>
      </x:c>
      <x:c r="K66" s="59" t="str">
        <x:v>Круглосуточно</x:v>
      </x:c>
      <x:c r="L66" s="59" t="str">
        <x:v>Зал расположен на втором этаже в зоне международных рейсов после паспортного контроля направо</x:v>
      </x:c>
      <x:c r="M66" s="57" t="str">
        <x:v>2 и 3</x:v>
      </x:c>
      <x:c r="N66" s="57" t="str">
        <x:v>Открыт</x:v>
      </x:c>
      <x:c r="O66" s="57" t="n">
        <x:v>119</x:v>
      </x:c>
      <x:c r="P66" s="60" t="str">
        <x:v>https://mir.pass.nspk.ru/sber/ru/lounges?airportCode=GOJ&amp;loungeId=119&amp;package=programm6</x:v>
      </x:c>
      <x:c r="Q66" s="61" t="n">
        <x:v>46231</x:v>
      </x:c>
    </x:row>
    <x:row r="67">
      <x:c r="A67" s="57" t="n">
        <x:v>66</x:v>
      </x:c>
      <x:c r="B67" s="58" t="str">
        <x:v>Новокузнецк</x:v>
      </x:c>
      <x:c r="C67" s="57" t="str">
        <x:v>NOZ</x:v>
      </x:c>
      <x:c r="D67" s="59" t="str">
        <x:v>Спиченково</x:v>
      </x:c>
      <x:c r="E67" s="58" t="str">
        <x:v>Аэропорт</x:v>
      </x:c>
      <x:c r="F67" s="59" t="str">
        <x:v>Бизнес-зал</x:v>
      </x:c>
      <x:c r="G67" s="57" t="str">
        <x:v>—</x:v>
      </x:c>
      <x:c r="H67" s="57" t="str">
        <x:v>1</x:v>
      </x:c>
      <x:c r="I67" s="57" t="str">
        <x:v>Внутренний</x:v>
      </x:c>
      <x:c r="J67" s="57" t="str">
        <x:v>ON·PASS</x:v>
      </x:c>
      <x:c r="K67" s="59" t="str">
        <x:v>Круглосуточно</x:v>
      </x:c>
      <x:c r="L67" s="59" t="str">
        <x:v>1-й этаж, зона вылета и прилета внутренних рейсов в правой части главного Терминала.
✈️ Для пассажиров внутренних воздушных линий</x:v>
      </x:c>
      <x:c r="M67" s="57" t="str">
        <x:v>2 и 3</x:v>
      </x:c>
      <x:c r="N67" s="57" t="str">
        <x:v>Открыт</x:v>
      </x:c>
      <x:c r="O67" s="57" t="n">
        <x:v>183</x:v>
      </x:c>
      <x:c r="P67" s="60" t="str">
        <x:v>https://mir.pass.nspk.ru/sber/ru/lounges?airportCode=NOZ&amp;loungeId=183&amp;package=programm6</x:v>
      </x:c>
      <x:c r="Q67" s="61" t="n">
        <x:v>46231</x:v>
      </x:c>
    </x:row>
    <x:row r="68">
      <x:c r="A68" s="57" t="n">
        <x:v>67</x:v>
      </x:c>
      <x:c r="B68" s="58" t="str">
        <x:v>Новосибирск</x:v>
      </x:c>
      <x:c r="C68" s="57" t="str">
        <x:v>OVB</x:v>
      </x:c>
      <x:c r="D68" s="59" t="str">
        <x:v>Толмачёво</x:v>
      </x:c>
      <x:c r="E68" s="58" t="str">
        <x:v>Аэропорт</x:v>
      </x:c>
      <x:c r="F68" s="59" t="str">
        <x:v>Бизнес-зал Сектор А</x:v>
      </x:c>
      <x:c r="G68" s="57" t="str">
        <x:v>—</x:v>
      </x:c>
      <x:c r="H68" s="57" t="str">
        <x:v>2</x:v>
      </x:c>
      <x:c r="I68" s="57" t="str">
        <x:v>Внутренний</x:v>
      </x:c>
      <x:c r="J68" s="57" t="str">
        <x:v>ON·PASS</x:v>
      </x:c>
      <x:c r="K68" s="59" t="str">
        <x:v>Круглосуточно</x:v>
      </x:c>
      <x:c r="L68" s="59" t="str">
        <x:v>Бизнес-зал расположен на втором этаже в стерильной зоне Сектора А внутренних авиалиний рядом с Выходом на посадку № 2</x:v>
      </x:c>
      <x:c r="M68" s="57" t="str">
        <x:v>2 и 3</x:v>
      </x:c>
      <x:c r="N68" s="57" t="str">
        <x:v>Открыт</x:v>
      </x:c>
      <x:c r="O68" s="57" t="n">
        <x:v>181</x:v>
      </x:c>
      <x:c r="P68" s="60" t="str">
        <x:v>https://mir.pass.nspk.ru/sber/ru/lounges?airportCode=OVB&amp;loungeId=181&amp;package=programm6</x:v>
      </x:c>
      <x:c r="Q68" s="61" t="n">
        <x:v>46231</x:v>
      </x:c>
    </x:row>
    <x:row r="69">
      <x:c r="A69" s="57" t="n">
        <x:v>68</x:v>
      </x:c>
      <x:c r="B69" s="58" t="str">
        <x:v>Новосибирск</x:v>
      </x:c>
      <x:c r="C69" s="57" t="str">
        <x:v>OVB</x:v>
      </x:c>
      <x:c r="D69" s="59" t="str">
        <x:v>Толмачёво</x:v>
      </x:c>
      <x:c r="E69" s="58" t="str">
        <x:v>Аэропорт</x:v>
      </x:c>
      <x:c r="F69" s="59" t="str">
        <x:v>Бизнес-зал Сектор Б</x:v>
      </x:c>
      <x:c r="G69" s="57" t="str">
        <x:v>—</x:v>
      </x:c>
      <x:c r="H69" s="57" t="str">
        <x:v>2</x:v>
      </x:c>
      <x:c r="I69" s="57" t="str">
        <x:v>Внутренний</x:v>
      </x:c>
      <x:c r="J69" s="57" t="str">
        <x:v>ON·PASS</x:v>
      </x:c>
      <x:c r="K69" s="59" t="str">
        <x:v>Круглосуточно</x:v>
      </x:c>
      <x:c r="L69" s="59" t="str">
        <x:v>Бизнес-зал расположен на втором этаже в стерильной зоне Сектора Б международных авиалиний напротив Выходов на посадку № 21/22</x:v>
      </x:c>
      <x:c r="M69" s="57" t="str">
        <x:v>2 и 3</x:v>
      </x:c>
      <x:c r="N69" s="57" t="str">
        <x:v>Открыт</x:v>
      </x:c>
      <x:c r="O69" s="57" t="n">
        <x:v>182</x:v>
      </x:c>
      <x:c r="P69" s="60" t="str">
        <x:v>https://mir.pass.nspk.ru/sber/ru/lounges?airportCode=OVB&amp;loungeId=182&amp;package=programm6</x:v>
      </x:c>
      <x:c r="Q69" s="61" t="n">
        <x:v>46231</x:v>
      </x:c>
    </x:row>
    <x:row r="70">
      <x:c r="A70" s="57" t="n">
        <x:v>69</x:v>
      </x:c>
      <x:c r="B70" s="58" t="str">
        <x:v>Новый Уренгой</x:v>
      </x:c>
      <x:c r="C70" s="57" t="str">
        <x:v>NUX</x:v>
      </x:c>
      <x:c r="D70" s="59" t="str">
        <x:v>Губкин</x:v>
      </x:c>
      <x:c r="E70" s="58" t="str">
        <x:v>Аэропорт</x:v>
      </x:c>
      <x:c r="F70" s="59" t="str">
        <x:v>Бизнес-зал</x:v>
      </x:c>
      <x:c r="G70" s="57" t="str">
        <x:v>—</x:v>
      </x:c>
      <x:c r="H70" s="57" t="str">
        <x:v>2</x:v>
      </x:c>
      <x:c r="I70" s="57" t="str">
        <x:v>Внутренний</x:v>
      </x:c>
      <x:c r="J70" s="57" t="str">
        <x:v>ON·PASS</x:v>
      </x:c>
      <x:c r="K70" s="59" t="str">
        <x:v>05.30-17.30</x:v>
      </x:c>
      <x:c r="L70" s="59" t="str">
        <x:v>Расположен на 2 этаже в стерильной зоне - после предполетного досмотра направо</x:v>
      </x:c>
      <x:c r="M70" s="57" t="str">
        <x:v>2 и 3</x:v>
      </x:c>
      <x:c r="N70" s="57" t="str">
        <x:v>Открыт</x:v>
      </x:c>
      <x:c r="O70" s="57" t="n">
        <x:v>121</x:v>
      </x:c>
      <x:c r="P70" s="60" t="str">
        <x:v>https://mir.pass.nspk.ru/sber/ru/lounges?airportCode=NUX&amp;loungeId=121&amp;package=programm6</x:v>
      </x:c>
      <x:c r="Q70" s="61" t="n">
        <x:v>46231</x:v>
      </x:c>
    </x:row>
    <x:row r="71">
      <x:c r="A71" s="57" t="n">
        <x:v>70</x:v>
      </x:c>
      <x:c r="B71" s="58" t="str">
        <x:v>Ноябрьск</x:v>
      </x:c>
      <x:c r="C71" s="57" t="str">
        <x:v>NOJ</x:v>
      </x:c>
      <x:c r="D71" s="59" t="str">
        <x:v>Ноябрьск</x:v>
      </x:c>
      <x:c r="E71" s="58" t="str">
        <x:v>Аэропорт</x:v>
      </x:c>
      <x:c r="F71" s="59" t="str">
        <x:v>Бизнес-зал</x:v>
      </x:c>
      <x:c r="G71" s="57" t="str">
        <x:v>—</x:v>
      </x:c>
      <x:c r="H71" s="57" t="str">
        <x:v>1</x:v>
      </x:c>
      <x:c r="I71" s="57" t="str">
        <x:v>Внутренний</x:v>
      </x:c>
      <x:c r="J71" s="57" t="str">
        <x:v>ON·PASS</x:v>
      </x:c>
      <x:c r="K71" s="59" t="str">
        <x:v>07:00 - 18:00</x:v>
      </x:c>
      <x:c r="L71" s="59" t="str">
        <x:v>Зал повышенной комфортности расположен в аэровокзале на 1-м этаже</x:v>
      </x:c>
      <x:c r="M71" s="57" t="str">
        <x:v>2 и 3</x:v>
      </x:c>
      <x:c r="N71" s="57" t="str">
        <x:v>Открыт</x:v>
      </x:c>
      <x:c r="O71" s="57" t="n">
        <x:v>260</x:v>
      </x:c>
      <x:c r="P71" s="60" t="str">
        <x:v>https://mir.pass.nspk.ru/sber/ru/lounges?airportCode=NOJ&amp;loungeId=260&amp;package=programm6</x:v>
      </x:c>
      <x:c r="Q71" s="61" t="n">
        <x:v>46231</x:v>
      </x:c>
    </x:row>
    <x:row r="72">
      <x:c r="A72" s="57" t="n">
        <x:v>71</x:v>
      </x:c>
      <x:c r="B72" s="58" t="str">
        <x:v>Омск</x:v>
      </x:c>
      <x:c r="C72" s="57" t="str">
        <x:v>OMS</x:v>
      </x:c>
      <x:c r="D72" s="59" t="str">
        <x:v>Омск</x:v>
      </x:c>
      <x:c r="E72" s="58" t="str">
        <x:v>Аэропорт</x:v>
      </x:c>
      <x:c r="F72" s="59" t="str">
        <x:v>Бизнес-зал</x:v>
      </x:c>
      <x:c r="G72" s="57" t="str">
        <x:v>—</x:v>
      </x:c>
      <x:c r="H72" s="57" t="str">
        <x:v>2</x:v>
      </x:c>
      <x:c r="I72" s="57" t="str">
        <x:v>Внутренний</x:v>
      </x:c>
      <x:c r="J72" s="57" t="str">
        <x:v>ON·PASS</x:v>
      </x:c>
      <x:c r="K72" s="59" t="str">
        <x:v>Круглосуточно</x:v>
      </x:c>
      <x:c r="L72" s="59" t="str">
        <x:v>Терминал В, 2-й этаж, зал ожидания в зоне вылета.
✈️ Для пассажиров внутренних воздушных линий</x:v>
      </x:c>
      <x:c r="M72" s="57" t="str">
        <x:v>2 и 3</x:v>
      </x:c>
      <x:c r="N72" s="57" t="str">
        <x:v>Открыт</x:v>
      </x:c>
      <x:c r="O72" s="57" t="n">
        <x:v>161</x:v>
      </x:c>
      <x:c r="P72" s="60" t="str">
        <x:v>https://mir.pass.nspk.ru/sber/ru/lounges?airportCode=OMS&amp;loungeId=161&amp;package=programm6</x:v>
      </x:c>
      <x:c r="Q72" s="61" t="n">
        <x:v>46231</x:v>
      </x:c>
    </x:row>
    <x:row r="73">
      <x:c r="A73" s="57" t="n">
        <x:v>72</x:v>
      </x:c>
      <x:c r="B73" s="58" t="str">
        <x:v>Орск</x:v>
      </x:c>
      <x:c r="C73" s="57" t="str">
        <x:v>OSW</x:v>
      </x:c>
      <x:c r="D73" s="59" t="str">
        <x:v>Орск</x:v>
      </x:c>
      <x:c r="E73" s="58" t="str">
        <x:v>Аэропорт</x:v>
      </x:c>
      <x:c r="F73" s="59" t="str">
        <x:v>Зал повышенной комфортности</x:v>
      </x:c>
      <x:c r="G73" s="57" t="str">
        <x:v>—</x:v>
      </x:c>
      <x:c r="H73" s="57" t="str">
        <x:v>1</x:v>
      </x:c>
      <x:c r="I73" s="57" t="str">
        <x:v>Внутренний</x:v>
      </x:c>
      <x:c r="J73" s="57" t="str">
        <x:v>ON·PASS</x:v>
      </x:c>
      <x:c r="K73" s="59" t="str">
        <x:v>Ежедневно с 08:30 до 17:30</x:v>
      </x:c>
      <x:c r="L73" s="59" t="str">
        <x:v>Зал повышенной комфортности расположен после прохода сектора Б с правой стороны.</x:v>
      </x:c>
      <x:c r="M73" s="57" t="str">
        <x:v>2 и 3</x:v>
      </x:c>
      <x:c r="N73" s="57" t="str">
        <x:v>Открыт</x:v>
      </x:c>
      <x:c r="O73" s="57" t="n">
        <x:v>139</x:v>
      </x:c>
      <x:c r="P73" s="60" t="str">
        <x:v>https://mir.pass.nspk.ru/sber/ru/lounges?airportCode=OSW&amp;loungeId=139&amp;package=programm6</x:v>
      </x:c>
      <x:c r="Q73" s="61" t="n">
        <x:v>46231</x:v>
      </x:c>
    </x:row>
    <x:row r="74">
      <x:c r="A74" s="57" t="n">
        <x:v>73</x:v>
      </x:c>
      <x:c r="B74" s="58" t="str">
        <x:v>Пермь</x:v>
      </x:c>
      <x:c r="C74" s="57" t="str">
        <x:v>PEE</x:v>
      </x:c>
      <x:c r="D74" s="59" t="str">
        <x:v>Большое Савино</x:v>
      </x:c>
      <x:c r="E74" s="58" t="str">
        <x:v>Аэропорт</x:v>
      </x:c>
      <x:c r="F74" s="59" t="str">
        <x:v>Бизнес зал ВВЛ</x:v>
      </x:c>
      <x:c r="G74" s="57" t="str">
        <x:v>—</x:v>
      </x:c>
      <x:c r="H74" s="57" t="str">
        <x:v>2</x:v>
      </x:c>
      <x:c r="I74" s="57" t="str">
        <x:v>Внутренний</x:v>
      </x:c>
      <x:c r="J74" s="57" t="str">
        <x:v>ON·PASS</x:v>
      </x:c>
      <x:c r="K74" s="59" t="str">
        <x:v>Круглосуточно</x:v>
      </x:c>
      <x:c r="L74" s="59" t="str">
        <x:v>Зона после паспортного контроля. Бизнес-зал для внутренних рейсов расположен на 2-м этаже с левой стороны</x:v>
      </x:c>
      <x:c r="M74" s="57" t="str">
        <x:v>2 и 3</x:v>
      </x:c>
      <x:c r="N74" s="57" t="str">
        <x:v>Открыт</x:v>
      </x:c>
      <x:c r="O74" s="57" t="n">
        <x:v>243</x:v>
      </x:c>
      <x:c r="P74" s="60" t="str">
        <x:v>https://mir.pass.nspk.ru/sber/ru/lounges?airportCode=PEE&amp;loungeId=243&amp;package=programm6</x:v>
      </x:c>
      <x:c r="Q74" s="61" t="n">
        <x:v>46231</x:v>
      </x:c>
    </x:row>
    <x:row r="75">
      <x:c r="A75" s="57" t="n">
        <x:v>74</x:v>
      </x:c>
      <x:c r="B75" s="58" t="str">
        <x:v>Пермь</x:v>
      </x:c>
      <x:c r="C75" s="57" t="str">
        <x:v>PEE</x:v>
      </x:c>
      <x:c r="D75" s="59" t="str">
        <x:v>Большое Савино</x:v>
      </x:c>
      <x:c r="E75" s="58" t="str">
        <x:v>Аэропорт</x:v>
      </x:c>
      <x:c r="F75" s="59" t="str">
        <x:v>Бизнес зал МВЛ</x:v>
      </x:c>
      <x:c r="G75" s="57" t="str">
        <x:v>—</x:v>
      </x:c>
      <x:c r="H75" s="57" t="str">
        <x:v>2</x:v>
      </x:c>
      <x:c r="I75" s="57" t="str">
        <x:v>Внутренний</x:v>
      </x:c>
      <x:c r="J75" s="57" t="str">
        <x:v>ON·PASS</x:v>
      </x:c>
      <x:c r="K75" s="59" t="str">
        <x:v>Круглосуточно</x:v>
      </x:c>
      <x:c r="L75" s="59" t="str">
        <x:v>Зона после паспортного контроля. Бизнес-зал для международных рейсов расположен на 2-м этаже с правой стороны</x:v>
      </x:c>
      <x:c r="M75" s="57" t="str">
        <x:v>2 и 3</x:v>
      </x:c>
      <x:c r="N75" s="57" t="str">
        <x:v>Открыт</x:v>
      </x:c>
      <x:c r="O75" s="57" t="n">
        <x:v>244</x:v>
      </x:c>
      <x:c r="P75" s="60" t="str">
        <x:v>https://mir.pass.nspk.ru/sber/ru/lounges?airportCode=PEE&amp;loungeId=244&amp;package=programm6</x:v>
      </x:c>
      <x:c r="Q75" s="61" t="n">
        <x:v>46231</x:v>
      </x:c>
    </x:row>
    <x:row r="76">
      <x:c r="A76" s="57" t="n">
        <x:v>75</x:v>
      </x:c>
      <x:c r="B76" s="58" t="str">
        <x:v>Петрозаводск</x:v>
      </x:c>
      <x:c r="C76" s="57" t="str">
        <x:v>PETR</x:v>
      </x:c>
      <x:c r="D76" s="59" t="str">
        <x:v>Вокзал Петрозаводск</x:v>
      </x:c>
      <x:c r="E76" s="58" t="str">
        <x:v>Ж/д вокзал</x:v>
      </x:c>
      <x:c r="F76" s="59" t="str">
        <x:v>Бизнес-зал</x:v>
      </x:c>
      <x:c r="G76" s="57" t="str">
        <x:v>—</x:v>
      </x:c>
      <x:c r="H76" s="57" t="str">
        <x:v>1</x:v>
      </x:c>
      <x:c r="I76" s="57" t="str">
        <x:v>Не применяется</x:v>
      </x:c>
      <x:c r="J76" s="57" t="str">
        <x:v>ON·PASS</x:v>
      </x:c>
      <x:c r="K76" s="59" t="str">
        <x:v>Круглосуточно</x:v>
      </x:c>
      <x:c r="L76" s="59" t="str">
        <x:v>Бизнес-зал расположен на 2 этаже вокзала, на южной стороне здания</x:v>
      </x:c>
      <x:c r="M76" s="57" t="str">
        <x:v>2 и 3</x:v>
      </x:c>
      <x:c r="N76" s="57" t="str">
        <x:v>Открыт</x:v>
      </x:c>
      <x:c r="O76" s="57" t="n">
        <x:v>73</x:v>
      </x:c>
      <x:c r="P76" s="60" t="str">
        <x:v>https://mir.pass.nspk.ru/sber/ru/lounges?airportCode=PETR&amp;loungeId=73&amp;package=programm6</x:v>
      </x:c>
      <x:c r="Q76" s="61" t="n">
        <x:v>46231</x:v>
      </x:c>
    </x:row>
    <x:row r="77">
      <x:c r="A77" s="57" t="n">
        <x:v>76</x:v>
      </x:c>
      <x:c r="B77" s="58" t="str">
        <x:v>Петропавловск-Камчатский</x:v>
      </x:c>
      <x:c r="C77" s="57" t="str">
        <x:v>PKC</x:v>
      </x:c>
      <x:c r="D77" s="59" t="str">
        <x:v>Елизово</x:v>
      </x:c>
      <x:c r="E77" s="58" t="str">
        <x:v>Аэропорт</x:v>
      </x:c>
      <x:c r="F77" s="59" t="str">
        <x:v>Приорити-зал</x:v>
      </x:c>
      <x:c r="G77" s="57" t="str">
        <x:v>—</x:v>
      </x:c>
      <x:c r="H77" s="57" t="str">
        <x:v>1</x:v>
      </x:c>
      <x:c r="I77" s="57" t="str">
        <x:v>Внутренний</x:v>
      </x:c>
      <x:c r="J77" s="57" t="str">
        <x:v>ON·PASS</x:v>
      </x:c>
      <x:c r="K77" s="59" t="str">
        <x:v>с 7:00 до 20:00</x:v>
      </x:c>
      <x:c r="L77" s="59" t="str">
        <x:v>Здание аэровокзала . Бизнес-зал расположен на 1-м этаже после предполетного досмотра с левой стороны</x:v>
      </x:c>
      <x:c r="M77" s="57" t="str">
        <x:v>2 и 3</x:v>
      </x:c>
      <x:c r="N77" s="57" t="str">
        <x:v>Открыт</x:v>
      </x:c>
      <x:c r="O77" s="57" t="n">
        <x:v>118</x:v>
      </x:c>
      <x:c r="P77" s="60" t="str">
        <x:v>https://mir.pass.nspk.ru/sber/ru/lounges?airportCode=PKC&amp;loungeId=118&amp;package=programm6</x:v>
      </x:c>
      <x:c r="Q77" s="61" t="n">
        <x:v>46231</x:v>
      </x:c>
    </x:row>
    <x:row r="78">
      <x:c r="A78" s="57" t="n">
        <x:v>77</x:v>
      </x:c>
      <x:c r="B78" s="58" t="str">
        <x:v>Самара</x:v>
      </x:c>
      <x:c r="C78" s="57" t="str">
        <x:v>KUF</x:v>
      </x:c>
      <x:c r="D78" s="59" t="str">
        <x:v>Курумоч</x:v>
      </x:c>
      <x:c r="E78" s="58" t="str">
        <x:v>Аэропорт</x:v>
      </x:c>
      <x:c r="F78" s="59" t="str">
        <x:v>Бизнес-зал</x:v>
      </x:c>
      <x:c r="G78" s="57" t="str">
        <x:v>—</x:v>
      </x:c>
      <x:c r="H78" s="57" t="str">
        <x:v>3</x:v>
      </x:c>
      <x:c r="I78" s="57" t="str">
        <x:v>Внутренний</x:v>
      </x:c>
      <x:c r="J78" s="57" t="str">
        <x:v>ON·PASS</x:v>
      </x:c>
      <x:c r="K78" s="59" t="str">
        <x:v>Круглосуточно</x:v>
      </x:c>
      <x:c r="L78" s="59" t="str">
        <x:v>Бизнес-зал внутренних линий расположен в  зоне вылета внутренних рейсов на 3 этаже</x:v>
      </x:c>
      <x:c r="M78" s="57" t="str">
        <x:v>2 и 3</x:v>
      </x:c>
      <x:c r="N78" s="57" t="str">
        <x:v>Открыт</x:v>
      </x:c>
      <x:c r="O78" s="57" t="n">
        <x:v>110</x:v>
      </x:c>
      <x:c r="P78" s="60" t="str">
        <x:v>https://mir.pass.nspk.ru/sber/ru/lounges?airportCode=KUF&amp;loungeId=110&amp;package=programm6</x:v>
      </x:c>
      <x:c r="Q78" s="61" t="n">
        <x:v>46231</x:v>
      </x:c>
    </x:row>
    <x:row r="79">
      <x:c r="A79" s="57" t="n">
        <x:v>78</x:v>
      </x:c>
      <x:c r="B79" s="58" t="str">
        <x:v>Самара</x:v>
      </x:c>
      <x:c r="C79" s="57" t="str">
        <x:v>KUF</x:v>
      </x:c>
      <x:c r="D79" s="59" t="str">
        <x:v>Курумоч</x:v>
      </x:c>
      <x:c r="E79" s="58" t="str">
        <x:v>Аэропорт</x:v>
      </x:c>
      <x:c r="F79" s="59" t="str">
        <x:v>Бизнес-зал международных линий</x:v>
      </x:c>
      <x:c r="G79" s="57" t="str">
        <x:v>—</x:v>
      </x:c>
      <x:c r="H79" s="57" t="str">
        <x:v>3</x:v>
      </x:c>
      <x:c r="I79" s="57" t="str">
        <x:v>Внутренний</x:v>
      </x:c>
      <x:c r="J79" s="57" t="str">
        <x:v>ON·PASS</x:v>
      </x:c>
      <x:c r="K79" s="59" t="str">
        <x:v>Круглосуточно</x:v>
      </x:c>
      <x:c r="L79" s="59" t="str">
        <x:v>Бизнес-зал международных линий расположен в  зоне вылета международных рейсов на 3 этаже. Зона после паспортного контроля</x:v>
      </x:c>
      <x:c r="M79" s="57" t="str">
        <x:v>2 и 3</x:v>
      </x:c>
      <x:c r="N79" s="57" t="str">
        <x:v>Открыт</x:v>
      </x:c>
      <x:c r="O79" s="57" t="n">
        <x:v>111</x:v>
      </x:c>
      <x:c r="P79" s="60" t="str">
        <x:v>https://mir.pass.nspk.ru/sber/ru/lounges?airportCode=KUF&amp;loungeId=111&amp;package=programm6</x:v>
      </x:c>
      <x:c r="Q79" s="61" t="n">
        <x:v>46231</x:v>
      </x:c>
    </x:row>
    <x:row r="80">
      <x:c r="A80" s="57" t="n">
        <x:v>79</x:v>
      </x:c>
      <x:c r="B80" s="58" t="str">
        <x:v>Санкт-Петербург</x:v>
      </x:c>
      <x:c r="C80" s="57" t="str">
        <x:v>ZLK</x:v>
      </x:c>
      <x:c r="D80" s="59" t="str">
        <x:v>Московский вокзал</x:v>
      </x:c>
      <x:c r="E80" s="58" t="str">
        <x:v>Ж/д вокзал</x:v>
      </x:c>
      <x:c r="F80" s="59" t="str">
        <x:v>Бизнес-зал</x:v>
      </x:c>
      <x:c r="G80" s="57" t="str">
        <x:v>—</x:v>
      </x:c>
      <x:c r="H80" s="57" t="str">
        <x:v>1</x:v>
      </x:c>
      <x:c r="I80" s="57" t="str">
        <x:v>Не применяется</x:v>
      </x:c>
      <x:c r="J80" s="57" t="str">
        <x:v>ON·PASS</x:v>
      </x:c>
      <x:c r="K80" s="59" t="str">
        <x:v>Круглосуточно</x:v>
      </x:c>
      <x:c r="L80" s="59" t="str">
        <x:v>Бизнес-зал расположен на 1 этаже вокзального комплекса, на пассажирских платформах, слева от путей № 6 и 7</x:v>
      </x:c>
      <x:c r="M80" s="57" t="str">
        <x:v>2 и 3</x:v>
      </x:c>
      <x:c r="N80" s="57" t="str">
        <x:v>Открыт</x:v>
      </x:c>
      <x:c r="O80" s="57" t="n">
        <x:v>69</x:v>
      </x:c>
      <x:c r="P80" s="60" t="str">
        <x:v>https://mir.pass.nspk.ru/sber/ru/lounges?airportCode=ZLK&amp;loungeId=69&amp;package=programm6</x:v>
      </x:c>
      <x:c r="Q80" s="61" t="n">
        <x:v>46231</x:v>
      </x:c>
    </x:row>
    <x:row r="81">
      <x:c r="A81" s="57" t="n">
        <x:v>80</x:v>
      </x:c>
      <x:c r="B81" s="58" t="str">
        <x:v>Санкт-Петербург</x:v>
      </x:c>
      <x:c r="C81" s="57" t="str">
        <x:v>LED</x:v>
      </x:c>
      <x:c r="D81" s="59" t="str">
        <x:v>Пулково</x:v>
      </x:c>
      <x:c r="E81" s="58" t="str">
        <x:v>Аэропорт</x:v>
      </x:c>
      <x:c r="F81" s="59" t="str">
        <x:v>Бизнес салон для пассажиров внутренних рейсов</x:v>
      </x:c>
      <x:c r="G81" s="57" t="str">
        <x:v>—</x:v>
      </x:c>
      <x:c r="H81" s="57" t="str">
        <x:v>3</x:v>
      </x:c>
      <x:c r="I81" s="57" t="str">
        <x:v>Внутренний</x:v>
      </x:c>
      <x:c r="J81" s="57" t="str">
        <x:v>ON·PASS</x:v>
      </x:c>
      <x:c r="K81" s="59" t="str">
        <x:v>Круглосуточно
📞 (812) 324-35-05</x:v>
      </x:c>
      <x:c r="L81" s="59" t="str">
        <x:v>Бизнес салон для пассажиров внутренних рейсов. Стерильная зона после прохождения досмотра, Терминал «Пулково-1», в конце зала ожидания, 3 этаж</x:v>
      </x:c>
      <x:c r="M81" s="57" t="str">
        <x:v>2 и 3</x:v>
      </x:c>
      <x:c r="N81" s="57" t="str">
        <x:v>Открыт</x:v>
      </x:c>
      <x:c r="O81" s="57" t="n">
        <x:v>184</x:v>
      </x:c>
      <x:c r="P81" s="60" t="str">
        <x:v>https://mir.pass.nspk.ru/sber/ru/lounges?airportCode=LED&amp;loungeId=184&amp;package=programm6</x:v>
      </x:c>
      <x:c r="Q81" s="61" t="n">
        <x:v>46231</x:v>
      </x:c>
    </x:row>
    <x:row r="82">
      <x:c r="A82" s="57" t="n">
        <x:v>81</x:v>
      </x:c>
      <x:c r="B82" s="58" t="str">
        <x:v>Санкт-Петербург</x:v>
      </x:c>
      <x:c r="C82" s="57" t="str">
        <x:v>LED</x:v>
      </x:c>
      <x:c r="D82" s="59" t="str">
        <x:v>Пулково</x:v>
      </x:c>
      <x:c r="E82" s="58" t="str">
        <x:v>Аэропорт</x:v>
      </x:c>
      <x:c r="F82" s="59" t="str">
        <x:v>Бизнес салон для пассажиров международных рейсов</x:v>
      </x:c>
      <x:c r="G82" s="57" t="str">
        <x:v>—</x:v>
      </x:c>
      <x:c r="H82" s="57" t="str">
        <x:v>4</x:v>
      </x:c>
      <x:c r="I82" s="57" t="str">
        <x:v>Внутренний</x:v>
      </x:c>
      <x:c r="J82" s="57" t="str">
        <x:v>ON·PASS</x:v>
      </x:c>
      <x:c r="K82" s="59" t="str">
        <x:v>Круглосуточно
📞 (812) 331-47-86</x:v>
      </x:c>
      <x:c r="L82" s="59" t="str">
        <x:v>Бизнес салон для пассажиров международных рейсов.
Центральный пассажирский терминал аэропорта «Пулково», стерильная зона после паспортного контроля, досмотра и магазина беспошлинной торговли, 4 этаж с левой  стороны.</x:v>
      </x:c>
      <x:c r="M82" s="57" t="str">
        <x:v>2 и 3</x:v>
      </x:c>
      <x:c r="N82" s="57" t="str">
        <x:v>Открыт</x:v>
      </x:c>
      <x:c r="O82" s="57" t="n">
        <x:v>247</x:v>
      </x:c>
      <x:c r="P82" s="60" t="str">
        <x:v>https://mir.pass.nspk.ru/sber/ru/lounges?airportCode=LED&amp;loungeId=247&amp;package=programm6</x:v>
      </x:c>
      <x:c r="Q82" s="61" t="n">
        <x:v>46231</x:v>
      </x:c>
    </x:row>
    <x:row r="83">
      <x:c r="A83" s="57" t="n">
        <x:v>82</x:v>
      </x:c>
      <x:c r="B83" s="58" t="str">
        <x:v>Саранск</x:v>
      </x:c>
      <x:c r="C83" s="57" t="str">
        <x:v>SKX</x:v>
      </x:c>
      <x:c r="D83" s="59" t="str">
        <x:v>Саранск</x:v>
      </x:c>
      <x:c r="E83" s="58" t="str">
        <x:v>Аэропорт</x:v>
      </x:c>
      <x:c r="F83" s="59" t="str">
        <x:v>Бизнес-зал</x:v>
      </x:c>
      <x:c r="G83" s="57" t="str">
        <x:v>—</x:v>
      </x:c>
      <x:c r="H83" s="57" t="str">
        <x:v>2</x:v>
      </x:c>
      <x:c r="I83" s="57" t="str">
        <x:v>Внутренний</x:v>
      </x:c>
      <x:c r="J83" s="57" t="str">
        <x:v>ON·PASS</x:v>
      </x:c>
      <x:c r="K83" s="59" t="str">
        <x:v>Круглосуточно</x:v>
      </x:c>
      <x:c r="L83" s="59" t="str">
        <x:v>Зона после паспортного контроля. Бизнес-зал расположен на 2-м этаже с правой стороны. Только для пассажиров внутренних рейсов</x:v>
      </x:c>
      <x:c r="M83" s="57" t="str">
        <x:v>2 и 3</x:v>
      </x:c>
      <x:c r="N83" s="57" t="str">
        <x:v>Открыт</x:v>
      </x:c>
      <x:c r="O83" s="57" t="n">
        <x:v>137</x:v>
      </x:c>
      <x:c r="P83" s="60" t="str">
        <x:v>https://mir.pass.nspk.ru/sber/ru/lounges?airportCode=SKX&amp;loungeId=137&amp;package=programm6</x:v>
      </x:c>
      <x:c r="Q83" s="61" t="n">
        <x:v>46231</x:v>
      </x:c>
    </x:row>
    <x:row r="84">
      <x:c r="A84" s="57" t="n">
        <x:v>83</x:v>
      </x:c>
      <x:c r="B84" s="58" t="str">
        <x:v>Саратов</x:v>
      </x:c>
      <x:c r="C84" s="57" t="str">
        <x:v>GSV</x:v>
      </x:c>
      <x:c r="D84" s="59" t="str">
        <x:v>Гагарин</x:v>
      </x:c>
      <x:c r="E84" s="58" t="str">
        <x:v>Аэропорт</x:v>
      </x:c>
      <x:c r="F84" s="59" t="str">
        <x:v>Бизнес-зал международных рейсов</x:v>
      </x:c>
      <x:c r="G84" s="57" t="str">
        <x:v>—</x:v>
      </x:c>
      <x:c r="H84" s="57" t="str">
        <x:v>2</x:v>
      </x:c>
      <x:c r="I84" s="57" t="str">
        <x:v>Внутренний</x:v>
      </x:c>
      <x:c r="J84" s="57" t="str">
        <x:v>ON·PASS</x:v>
      </x:c>
      <x:c r="K84" s="59" t="str">
        <x:v>Круглосуточно</x:v>
      </x:c>
      <x:c r="L84" s="59" t="str">
        <x:v>Зона после таможенного и  паспортного контроля. Бизнес-зал  международных рейсов  расположен на 2-м этаже с левой стороны. Только для пассажиров международных рейсов.</x:v>
      </x:c>
      <x:c r="M84" s="57" t="str">
        <x:v>2 и 3</x:v>
      </x:c>
      <x:c r="N84" s="57" t="str">
        <x:v>Открыт</x:v>
      </x:c>
      <x:c r="O84" s="57" t="n">
        <x:v>112</x:v>
      </x:c>
      <x:c r="P84" s="60" t="str">
        <x:v>https://mir.pass.nspk.ru/sber/ru/lounges?airportCode=GSV&amp;loungeId=112&amp;package=programm6</x:v>
      </x:c>
      <x:c r="Q84" s="61" t="n">
        <x:v>46231</x:v>
      </x:c>
    </x:row>
    <x:row r="85">
      <x:c r="A85" s="57" t="n">
        <x:v>84</x:v>
      </x:c>
      <x:c r="B85" s="58" t="str">
        <x:v>Саратов</x:v>
      </x:c>
      <x:c r="C85" s="57" t="str">
        <x:v>GSV</x:v>
      </x:c>
      <x:c r="D85" s="59" t="str">
        <x:v>Гагарин</x:v>
      </x:c>
      <x:c r="E85" s="58" t="str">
        <x:v>Аэропорт</x:v>
      </x:c>
      <x:c r="F85" s="59" t="str">
        <x:v>Зал внутренних рейсов</x:v>
      </x:c>
      <x:c r="G85" s="57" t="str">
        <x:v>—</x:v>
      </x:c>
      <x:c r="H85" s="57" t="str">
        <x:v>2</x:v>
      </x:c>
      <x:c r="I85" s="57" t="str">
        <x:v>Внутренний</x:v>
      </x:c>
      <x:c r="J85" s="57" t="str">
        <x:v>ON·PASS</x:v>
      </x:c>
      <x:c r="K85" s="59" t="str">
        <x:v>Круглосуточно</x:v>
      </x:c>
      <x:c r="L85" s="59" t="str">
        <x:v>Зона после  паспортного контроля. Бизнес-зал внутренних рейсов  расположен на 2-м этаже с правой стороны. Только для пассажиров внутренних рейсов и рейсов ЕАЭС (Евразийский экономический союз).</x:v>
      </x:c>
      <x:c r="M85" s="57" t="str">
        <x:v>2 и 3</x:v>
      </x:c>
      <x:c r="N85" s="57" t="str">
        <x:v>Открыт</x:v>
      </x:c>
      <x:c r="O85" s="57" t="n">
        <x:v>113</x:v>
      </x:c>
      <x:c r="P85" s="60" t="str">
        <x:v>https://mir.pass.nspk.ru/sber/ru/lounges?airportCode=GSV&amp;loungeId=113&amp;package=programm6</x:v>
      </x:c>
      <x:c r="Q85" s="61" t="n">
        <x:v>46231</x:v>
      </x:c>
    </x:row>
    <x:row r="86">
      <x:c r="A86" s="57" t="n">
        <x:v>85</x:v>
      </x:c>
      <x:c r="B86" s="58" t="str">
        <x:v>Сочи</x:v>
      </x:c>
      <x:c r="C86" s="57" t="str">
        <x:v>SOCH</x:v>
      </x:c>
      <x:c r="D86" s="59" t="str">
        <x:v>Вокзал Сочи</x:v>
      </x:c>
      <x:c r="E86" s="58" t="str">
        <x:v>Ж/д вокзал</x:v>
      </x:c>
      <x:c r="F86" s="59" t="str">
        <x:v>Бизнес-зал</x:v>
      </x:c>
      <x:c r="G86" s="57" t="str">
        <x:v>—</x:v>
      </x:c>
      <x:c r="H86" s="57" t="str">
        <x:v>1</x:v>
      </x:c>
      <x:c r="I86" s="57" t="str">
        <x:v>Не применяется</x:v>
      </x:c>
      <x:c r="J86" s="57" t="str">
        <x:v>ON·PASS</x:v>
      </x:c>
      <x:c r="K86" s="59" t="str">
        <x:v>Круглосуточно</x:v>
      </x:c>
      <x:c r="L86" s="59" t="str">
        <x:v>Бизнес-зал расположен на 1 этаже вокзала, в Венецианском дворике в северной части вокзала.</x:v>
      </x:c>
      <x:c r="M86" s="57" t="str">
        <x:v>2 и 3</x:v>
      </x:c>
      <x:c r="N86" s="57" t="str">
        <x:v>Открыт</x:v>
      </x:c>
      <x:c r="O86" s="57" t="n">
        <x:v>70</x:v>
      </x:c>
      <x:c r="P86" s="60" t="str">
        <x:v>https://mir.pass.nspk.ru/sber/ru/lounges?airportCode=SOCH&amp;loungeId=70&amp;package=programm6</x:v>
      </x:c>
      <x:c r="Q86" s="61" t="n">
        <x:v>46231</x:v>
      </x:c>
    </x:row>
    <x:row r="87">
      <x:c r="A87" s="57" t="n">
        <x:v>86</x:v>
      </x:c>
      <x:c r="B87" s="58" t="str">
        <x:v>Сочи</x:v>
      </x:c>
      <x:c r="C87" s="57" t="str">
        <x:v>RUAE</x:v>
      </x:c>
      <x:c r="D87" s="59" t="str">
        <x:v>Сочи</x:v>
      </x:c>
      <x:c r="E87" s="58" t="str">
        <x:v>Морской порт</x:v>
      </x:c>
      <x:c r="F87" s="59" t="str">
        <x:v>Бизнес-зал "Морской порт Сочи"</x:v>
      </x:c>
      <x:c r="G87" s="57" t="str">
        <x:v>—</x:v>
      </x:c>
      <x:c r="H87" s="57" t="str">
        <x:v>2</x:v>
      </x:c>
      <x:c r="I87" s="57" t="str">
        <x:v>Все рейсы</x:v>
      </x:c>
      <x:c r="J87" s="57" t="str">
        <x:v>ON·PASS</x:v>
      </x:c>
      <x:c r="K87" s="59" t="str">
        <x:v>По регламенту морского порта</x:v>
      </x:c>
      <x:c r="L87" s="59" t="str">
        <x:v>Бизнес-зал расположен на 2-м этаже.</x:v>
      </x:c>
      <x:c r="M87" s="57" t="str">
        <x:v>2 и 3</x:v>
      </x:c>
      <x:c r="N87" s="57" t="str">
        <x:v>Открыт</x:v>
      </x:c>
      <x:c r="O87" s="57" t="n">
        <x:v>722</x:v>
      </x:c>
      <x:c r="P87" s="60" t="str">
        <x:v>https://mir.pass.nspk.ru/sber/ru/lounges?airportCode=RUAE&amp;loungeId=722&amp;package=programm6</x:v>
      </x:c>
      <x:c r="Q87" s="61" t="n">
        <x:v>46231</x:v>
      </x:c>
    </x:row>
    <x:row r="88">
      <x:c r="A88" s="57" t="n">
        <x:v>87</x:v>
      </x:c>
      <x:c r="B88" s="58" t="str">
        <x:v>Сочи</x:v>
      </x:c>
      <x:c r="C88" s="57" t="str">
        <x:v>AER</x:v>
      </x:c>
      <x:c r="D88" s="59" t="str">
        <x:v>Сочи</x:v>
      </x:c>
      <x:c r="E88" s="58" t="str">
        <x:v>Аэропорт</x:v>
      </x:c>
      <x:c r="F88" s="59" t="str">
        <x:v>Бизнес-зал МВЛ</x:v>
      </x:c>
      <x:c r="G88" s="57" t="str">
        <x:v>—</x:v>
      </x:c>
      <x:c r="H88" s="57" t="str">
        <x:v>2</x:v>
      </x:c>
      <x:c r="I88" s="57" t="str">
        <x:v>Внутренний</x:v>
      </x:c>
      <x:c r="J88" s="57" t="str">
        <x:v>ON·PASS</x:v>
      </x:c>
      <x:c r="K88" s="59" t="str">
        <x:v>Круглосуточно</x:v>
      </x:c>
      <x:c r="L88" s="59" t="str">
        <x:v>Терминал международных авиалиний. Зона после паспортного контроля. Бизнес-зал расположен на 2-м этаже, сектор В</x:v>
      </x:c>
      <x:c r="M88" s="57" t="str">
        <x:v>2 и 3</x:v>
      </x:c>
      <x:c r="N88" s="57" t="str">
        <x:v>Открыт</x:v>
      </x:c>
      <x:c r="O88" s="57" t="n">
        <x:v>135</x:v>
      </x:c>
      <x:c r="P88" s="60" t="str">
        <x:v>https://mir.pass.nspk.ru/sber/ru/lounges?airportCode=AER&amp;loungeId=135&amp;package=programm6</x:v>
      </x:c>
      <x:c r="Q88" s="61" t="n">
        <x:v>46231</x:v>
      </x:c>
    </x:row>
    <x:row r="89">
      <x:c r="A89" s="57" t="n">
        <x:v>88</x:v>
      </x:c>
      <x:c r="B89" s="58" t="str">
        <x:v>Сочи</x:v>
      </x:c>
      <x:c r="C89" s="57" t="str">
        <x:v>AER</x:v>
      </x:c>
      <x:c r="D89" s="59" t="str">
        <x:v>Сочи</x:v>
      </x:c>
      <x:c r="E89" s="58" t="str">
        <x:v>Аэропорт</x:v>
      </x:c>
      <x:c r="F89" s="59" t="str">
        <x:v>Зал повышенного комфорта ВВЛ</x:v>
      </x:c>
      <x:c r="G89" s="57" t="str">
        <x:v>—</x:v>
      </x:c>
      <x:c r="H89" s="57" t="str">
        <x:v>2</x:v>
      </x:c>
      <x:c r="I89" s="57" t="str">
        <x:v>Внутренний</x:v>
      </x:c>
      <x:c r="J89" s="57" t="str">
        <x:v>ON·PASS</x:v>
      </x:c>
      <x:c r="K89" s="59" t="str">
        <x:v>Круглосуточно</x:v>
      </x:c>
      <x:c r="L89" s="59" t="str">
        <x:v>Терминал внутренних авиалиний. Зона после паспортного контроля. Зал повышенного комфорта расположен на 2-м этаже, сектор В</x:v>
      </x:c>
      <x:c r="M89" s="57" t="str">
        <x:v>2 и 3</x:v>
      </x:c>
      <x:c r="N89" s="57" t="str">
        <x:v>Открыт</x:v>
      </x:c>
      <x:c r="O89" s="57" t="n">
        <x:v>134</x:v>
      </x:c>
      <x:c r="P89" s="60" t="str">
        <x:v>https://mir.pass.nspk.ru/sber/ru/lounges?airportCode=AER&amp;loungeId=134&amp;package=programm6</x:v>
      </x:c>
      <x:c r="Q89" s="61" t="n">
        <x:v>46231</x:v>
      </x:c>
    </x:row>
    <x:row r="90">
      <x:c r="A90" s="57" t="n">
        <x:v>89</x:v>
      </x:c>
      <x:c r="B90" s="58" t="str">
        <x:v>Ставрополь</x:v>
      </x:c>
      <x:c r="C90" s="57" t="str">
        <x:v>STW</x:v>
      </x:c>
      <x:c r="D90" s="59" t="str">
        <x:v>Ставрополь</x:v>
      </x:c>
      <x:c r="E90" s="58" t="str">
        <x:v>Аэропорт</x:v>
      </x:c>
      <x:c r="F90" s="59" t="str">
        <x:v>Зал повышенной комфортности</x:v>
      </x:c>
      <x:c r="G90" s="57" t="str">
        <x:v>—</x:v>
      </x:c>
      <x:c r="H90" s="57" t="str">
        <x:v>1</x:v>
      </x:c>
      <x:c r="I90" s="57" t="str">
        <x:v>Внутренний</x:v>
      </x:c>
      <x:c r="J90" s="57" t="str">
        <x:v>ON·PASS</x:v>
      </x:c>
      <x:c r="K90" s="59" t="str">
        <x:v>Ежедневно с 08:00 до 20:00 местного времени</x:v>
      </x:c>
      <x:c r="L90" s="59" t="str">
        <x:v>Основной терминал. Зал повышенной комфортности находится с правой стороны терминала, вход отдельный. Зона после паспортного контроля</x:v>
      </x:c>
      <x:c r="M90" s="57" t="str">
        <x:v>2 и 3</x:v>
      </x:c>
      <x:c r="N90" s="57" t="str">
        <x:v>Открыт</x:v>
      </x:c>
      <x:c r="O90" s="57" t="n">
        <x:v>153</x:v>
      </x:c>
      <x:c r="P90" s="60" t="str">
        <x:v>https://mir.pass.nspk.ru/sber/ru/lounges?airportCode=STW&amp;loungeId=153&amp;package=programm6</x:v>
      </x:c>
      <x:c r="Q90" s="61" t="n">
        <x:v>46231</x:v>
      </x:c>
    </x:row>
    <x:row r="91">
      <x:c r="A91" s="57" t="n">
        <x:v>90</x:v>
      </x:c>
      <x:c r="B91" s="58" t="str">
        <x:v>Сургут</x:v>
      </x:c>
      <x:c r="C91" s="57" t="str">
        <x:v>SGC</x:v>
      </x:c>
      <x:c r="D91" s="59" t="str">
        <x:v>Сургут</x:v>
      </x:c>
      <x:c r="E91" s="58" t="str">
        <x:v>Аэропорт</x:v>
      </x:c>
      <x:c r="F91" s="59" t="str">
        <x:v>Бизнес-зал</x:v>
      </x:c>
      <x:c r="G91" s="57" t="str">
        <x:v>—</x:v>
      </x:c>
      <x:c r="H91" s="57" t="str">
        <x:v>2</x:v>
      </x:c>
      <x:c r="I91" s="57" t="str">
        <x:v>Внутренний</x:v>
      </x:c>
      <x:c r="J91" s="57" t="str">
        <x:v>ON·PASS</x:v>
      </x:c>
      <x:c r="K91" s="59" t="str">
        <x:v>Круглосуточно</x:v>
      </x:c>
      <x:c r="L91" s="59" t="str">
        <x:v>Зал расположен на втором этаже здания аэровокзала справа от лифта</x:v>
      </x:c>
      <x:c r="M91" s="57" t="str">
        <x:v>2 и 3</x:v>
      </x:c>
      <x:c r="N91" s="57" t="str">
        <x:v>Открыт</x:v>
      </x:c>
      <x:c r="O91" s="57" t="n">
        <x:v>108</x:v>
      </x:c>
      <x:c r="P91" s="60" t="str">
        <x:v>https://mir.pass.nspk.ru/sber/ru/lounges?airportCode=SGC&amp;loungeId=108&amp;package=programm6</x:v>
      </x:c>
      <x:c r="Q91" s="61" t="n">
        <x:v>46231</x:v>
      </x:c>
    </x:row>
    <x:row r="92">
      <x:c r="A92" s="57" t="n">
        <x:v>91</x:v>
      </x:c>
      <x:c r="B92" s="58" t="str">
        <x:v>Томск</x:v>
      </x:c>
      <x:c r="C92" s="57" t="str">
        <x:v>TOF</x:v>
      </x:c>
      <x:c r="D92" s="59" t="str">
        <x:v>Богашево</x:v>
      </x:c>
      <x:c r="E92" s="58" t="str">
        <x:v>Аэропорт</x:v>
      </x:c>
      <x:c r="F92" s="59" t="str">
        <x:v>Зал повышенной комфортности</x:v>
      </x:c>
      <x:c r="G92" s="57" t="str">
        <x:v>—</x:v>
      </x:c>
      <x:c r="H92" s="57" t="str">
        <x:v>2</x:v>
      </x:c>
      <x:c r="I92" s="57" t="str">
        <x:v>Внутренний</x:v>
      </x:c>
      <x:c r="J92" s="57" t="str">
        <x:v>ON·PASS</x:v>
      </x:c>
      <x:c r="K92" s="59" t="str">
        <x:v>С 05:00 до 11:00</x:v>
      </x:c>
      <x:c r="L92" s="59" t="str">
        <x:v>Расположен в терминале местных авиалиний, после зоны досмотра направо</x:v>
      </x:c>
      <x:c r="M92" s="57" t="str">
        <x:v>2 и 3</x:v>
      </x:c>
      <x:c r="N92" s="57" t="str">
        <x:v>Открыт</x:v>
      </x:c>
      <x:c r="O92" s="57" t="n">
        <x:v>152</x:v>
      </x:c>
      <x:c r="P92" s="60" t="str">
        <x:v>https://mir.pass.nspk.ru/sber/ru/lounges?airportCode=TOF&amp;loungeId=152&amp;package=programm6</x:v>
      </x:c>
      <x:c r="Q92" s="61" t="n">
        <x:v>46231</x:v>
      </x:c>
    </x:row>
    <x:row r="93">
      <x:c r="A93" s="57" t="n">
        <x:v>92</x:v>
      </x:c>
      <x:c r="B93" s="58" t="str">
        <x:v>Тюмень</x:v>
      </x:c>
      <x:c r="C93" s="57" t="str">
        <x:v>TJM</x:v>
      </x:c>
      <x:c r="D93" s="59" t="str">
        <x:v>Рощино</x:v>
      </x:c>
      <x:c r="E93" s="58" t="str">
        <x:v>Аэропорт</x:v>
      </x:c>
      <x:c r="F93" s="59" t="str">
        <x:v>Зал повышенной комфортности</x:v>
      </x:c>
      <x:c r="G93" s="57" t="str">
        <x:v>—</x:v>
      </x:c>
      <x:c r="H93" s="57" t="str">
        <x:v>2</x:v>
      </x:c>
      <x:c r="I93" s="57" t="str">
        <x:v>Внутренний</x:v>
      </x:c>
      <x:c r="J93" s="57" t="str">
        <x:v>ON·PASS</x:v>
      </x:c>
      <x:c r="K93" s="59" t="str">
        <x:v>Круглосуточно</x:v>
      </x:c>
      <x:c r="L93" s="59" t="str">
        <x:v>Зал повышенной комфортности расположен после зоны досмотра пассажиров с левой стороны у выхода 1, 1А</x:v>
      </x:c>
      <x:c r="M93" s="57" t="str">
        <x:v>2 и 3</x:v>
      </x:c>
      <x:c r="N93" s="57" t="str">
        <x:v>Открыт</x:v>
      </x:c>
      <x:c r="O93" s="57" t="n">
        <x:v>136</x:v>
      </x:c>
      <x:c r="P93" s="60" t="str">
        <x:v>https://mir.pass.nspk.ru/sber/ru/lounges?airportCode=TJM&amp;loungeId=136&amp;package=programm6</x:v>
      </x:c>
      <x:c r="Q93" s="61" t="n">
        <x:v>46231</x:v>
      </x:c>
    </x:row>
    <x:row r="94">
      <x:c r="A94" s="57" t="n">
        <x:v>93</x:v>
      </x:c>
      <x:c r="B94" s="58" t="str">
        <x:v>Улан-Удэ</x:v>
      </x:c>
      <x:c r="C94" s="57" t="str">
        <x:v>UUD</x:v>
      </x:c>
      <x:c r="D94" s="59" t="str">
        <x:v>Байкал</x:v>
      </x:c>
      <x:c r="E94" s="58" t="str">
        <x:v>Аэропорт</x:v>
      </x:c>
      <x:c r="F94" s="59" t="str">
        <x:v>Зал повышенной комфортности</x:v>
      </x:c>
      <x:c r="G94" s="57" t="str">
        <x:v>—</x:v>
      </x:c>
      <x:c r="H94" s="57" t="str">
        <x:v>2</x:v>
      </x:c>
      <x:c r="I94" s="57" t="str">
        <x:v>Внутренний</x:v>
      </x:c>
      <x:c r="J94" s="57" t="str">
        <x:v>ON·PASS</x:v>
      </x:c>
      <x:c r="K94" s="59" t="str">
        <x:v>Круглосуточно</x:v>
      </x:c>
      <x:c r="L94" s="59" t="str">
        <x:v>Зал повышенной комфортности расположен после зоны досмотра пассажиров с правой  стороны</x:v>
      </x:c>
      <x:c r="M94" s="57" t="str">
        <x:v>2 и 3</x:v>
      </x:c>
      <x:c r="N94" s="57" t="str">
        <x:v>Открыт</x:v>
      </x:c>
      <x:c r="O94" s="57" t="n">
        <x:v>151</x:v>
      </x:c>
      <x:c r="P94" s="60" t="str">
        <x:v>https://mir.pass.nspk.ru/sber/ru/lounges?airportCode=UUD&amp;loungeId=151&amp;package=programm6</x:v>
      </x:c>
      <x:c r="Q94" s="61" t="n">
        <x:v>46231</x:v>
      </x:c>
    </x:row>
    <x:row r="95">
      <x:c r="A95" s="57" t="n">
        <x:v>94</x:v>
      </x:c>
      <x:c r="B95" s="58" t="str">
        <x:v>Ульяновск</x:v>
      </x:c>
      <x:c r="C95" s="57" t="str">
        <x:v>ULV</x:v>
      </x:c>
      <x:c r="D95" s="59" t="str">
        <x:v>Баратаевка</x:v>
      </x:c>
      <x:c r="E95" s="58" t="str">
        <x:v>Аэропорт</x:v>
      </x:c>
      <x:c r="F95" s="59" t="str">
        <x:v>Бизнес-зал</x:v>
      </x:c>
      <x:c r="G95" s="57" t="str">
        <x:v>—</x:v>
      </x:c>
      <x:c r="H95" s="57" t="str">
        <x:v>1</x:v>
      </x:c>
      <x:c r="I95" s="57" t="str">
        <x:v>Внутренний</x:v>
      </x:c>
      <x:c r="J95" s="57" t="str">
        <x:v>ON·PASS</x:v>
      </x:c>
      <x:c r="K95" s="59" t="str">
        <x:v>Круглосуточно</x:v>
      </x:c>
      <x:c r="L95" s="59" t="str">
        <x:v>Первый этаж Терминала, правая часть общего зала ожидания
✈️ Для пассажиров внутренних воздушных линий</x:v>
      </x:c>
      <x:c r="M95" s="57" t="str">
        <x:v>2 и 3</x:v>
      </x:c>
      <x:c r="N95" s="57" t="str">
        <x:v>Открыт</x:v>
      </x:c>
      <x:c r="O95" s="57" t="n">
        <x:v>229</x:v>
      </x:c>
      <x:c r="P95" s="60" t="str">
        <x:v>https://mir.pass.nspk.ru/sber/ru/lounges?airportCode=ULV&amp;loungeId=229&amp;package=programm6</x:v>
      </x:c>
      <x:c r="Q95" s="61" t="n">
        <x:v>46231</x:v>
      </x:c>
    </x:row>
    <x:row r="96">
      <x:c r="A96" s="57" t="n">
        <x:v>95</x:v>
      </x:c>
      <x:c r="B96" s="58" t="str">
        <x:v>Уфа</x:v>
      </x:c>
      <x:c r="C96" s="57" t="str">
        <x:v>VUFA</x:v>
      </x:c>
      <x:c r="D96" s="59" t="str">
        <x:v>Железнодорожный вокзал Уфа</x:v>
      </x:c>
      <x:c r="E96" s="58" t="str">
        <x:v>Ж/д вокзал</x:v>
      </x:c>
      <x:c r="F96" s="59" t="str">
        <x:v>Бизнес-зал</x:v>
      </x:c>
      <x:c r="G96" s="57" t="str">
        <x:v>—</x:v>
      </x:c>
      <x:c r="H96" s="57" t="str">
        <x:v>1</x:v>
      </x:c>
      <x:c r="I96" s="57" t="str">
        <x:v>Не применяется</x:v>
      </x:c>
      <x:c r="J96" s="57" t="str">
        <x:v>ON·PASS</x:v>
      </x:c>
      <x:c r="K96" s="59" t="str">
        <x:v>Круглосуточно</x:v>
      </x:c>
      <x:c r="L96" s="59" t="str">
        <x:v>Бизнес-зал расположен на 1 этаже вокзала</x:v>
      </x:c>
      <x:c r="M96" s="57" t="str">
        <x:v>2 и 3</x:v>
      </x:c>
      <x:c r="N96" s="57" t="str">
        <x:v>Открыт</x:v>
      </x:c>
      <x:c r="O96" s="57" t="n">
        <x:v>124</x:v>
      </x:c>
      <x:c r="P96" s="60" t="str">
        <x:v>https://mir.pass.nspk.ru/sber/ru/lounges?airportCode=VUFA&amp;loungeId=124&amp;package=programm6</x:v>
      </x:c>
      <x:c r="Q96" s="61" t="n">
        <x:v>46231</x:v>
      </x:c>
    </x:row>
    <x:row r="97">
      <x:c r="A97" s="57" t="n">
        <x:v>96</x:v>
      </x:c>
      <x:c r="B97" s="58" t="str">
        <x:v>Уфа</x:v>
      </x:c>
      <x:c r="C97" s="57" t="str">
        <x:v>UFA</x:v>
      </x:c>
      <x:c r="D97" s="59" t="str">
        <x:v>Уфа</x:v>
      </x:c>
      <x:c r="E97" s="58" t="str">
        <x:v>Аэропорт</x:v>
      </x:c>
      <x:c r="F97" s="59" t="str">
        <x:v>Иремель lounge</x:v>
      </x:c>
      <x:c r="G97" s="57" t="str">
        <x:v>—</x:v>
      </x:c>
      <x:c r="H97" s="57" t="str">
        <x:v>2</x:v>
      </x:c>
      <x:c r="I97" s="57" t="str">
        <x:v>Внутренний</x:v>
      </x:c>
      <x:c r="J97" s="57" t="str">
        <x:v>ON·PASS</x:v>
      </x:c>
      <x:c r="K97" s="59" t="str">
        <x:v>Круглосуточно</x:v>
      </x:c>
      <x:c r="L97" s="59" t="str">
        <x:v>Терминал 1, 2-й этаж, зал ожидания в зоне вылета	
✈️ Для пассажиров внутренних воздушных линий</x:v>
      </x:c>
      <x:c r="M97" s="57" t="str">
        <x:v>2 и 3</x:v>
      </x:c>
      <x:c r="N97" s="57" t="str">
        <x:v>Открыт</x:v>
      </x:c>
      <x:c r="O97" s="57" t="n">
        <x:v>261</x:v>
      </x:c>
      <x:c r="P97" s="60" t="str">
        <x:v>https://mir.pass.nspk.ru/sber/ru/lounges?airportCode=UFA&amp;loungeId=261&amp;package=programm6</x:v>
      </x:c>
      <x:c r="Q97" s="61" t="n">
        <x:v>46231</x:v>
      </x:c>
    </x:row>
    <x:row r="98">
      <x:c r="A98" s="57" t="n">
        <x:v>97</x:v>
      </x:c>
      <x:c r="B98" s="58" t="str">
        <x:v>Хабаровск</x:v>
      </x:c>
      <x:c r="C98" s="57" t="str">
        <x:v>KHV</x:v>
      </x:c>
      <x:c r="D98" s="59" t="str">
        <x:v>Аэропорт Хабаровск</x:v>
      </x:c>
      <x:c r="E98" s="58" t="str">
        <x:v>Аэропорт</x:v>
      </x:c>
      <x:c r="F98" s="59" t="str">
        <x:v>Амур</x:v>
      </x:c>
      <x:c r="G98" s="57" t="str">
        <x:v>—</x:v>
      </x:c>
      <x:c r="H98" s="57" t="str">
        <x:v>3</x:v>
      </x:c>
      <x:c r="I98" s="57" t="str">
        <x:v>Внутренний</x:v>
      </x:c>
      <x:c r="J98" s="57" t="str">
        <x:v>ON·PASS</x:v>
      </x:c>
      <x:c r="K98" s="59" t="str">
        <x:v>Круглосуточно</x:v>
      </x:c>
      <x:c r="L98" s="59" t="str">
        <x:v>Зона после досмотра. Бизнес-зал расположен на 3-м этаже с правой стороны.</x:v>
      </x:c>
      <x:c r="M98" s="57" t="str">
        <x:v>2 и 3</x:v>
      </x:c>
      <x:c r="N98" s="57" t="str">
        <x:v>Открыт</x:v>
      </x:c>
      <x:c r="O98" s="57" t="n">
        <x:v>230</x:v>
      </x:c>
      <x:c r="P98" s="60" t="str">
        <x:v>https://mir.pass.nspk.ru/sber/ru/lounges?airportCode=KHV&amp;loungeId=230&amp;package=programm6</x:v>
      </x:c>
      <x:c r="Q98" s="61" t="n">
        <x:v>46231</x:v>
      </x:c>
    </x:row>
    <x:row r="99">
      <x:c r="A99" s="57" t="n">
        <x:v>98</x:v>
      </x:c>
      <x:c r="B99" s="58" t="str">
        <x:v>Челябинск</x:v>
      </x:c>
      <x:c r="C99" s="57" t="str">
        <x:v>CEK</x:v>
      </x:c>
      <x:c r="D99" s="59" t="str">
        <x:v>Баландино</x:v>
      </x:c>
      <x:c r="E99" s="58" t="str">
        <x:v>Аэропорт</x:v>
      </x:c>
      <x:c r="F99" s="59" t="str">
        <x:v>Бизнес-зал ВВЛ</x:v>
      </x:c>
      <x:c r="G99" s="57" t="str">
        <x:v>—</x:v>
      </x:c>
      <x:c r="H99" s="57" t="str">
        <x:v>2</x:v>
      </x:c>
      <x:c r="I99" s="57" t="str">
        <x:v>Внутренний</x:v>
      </x:c>
      <x:c r="J99" s="57" t="str">
        <x:v>ON·PASS</x:v>
      </x:c>
      <x:c r="K99" s="59" t="str">
        <x:v>Круглосуточно</x:v>
      </x:c>
      <x:c r="L99" s="59" t="str">
        <x:v>Бизнес-зал ВВЛ расположен на 2-м этаже после зоны досмотра, с левой стороны.</x:v>
      </x:c>
      <x:c r="M99" s="57" t="str">
        <x:v>2 и 3</x:v>
      </x:c>
      <x:c r="N99" s="57" t="str">
        <x:v>Открыт</x:v>
      </x:c>
      <x:c r="O99" s="57" t="n">
        <x:v>143</x:v>
      </x:c>
      <x:c r="P99" s="60" t="str">
        <x:v>https://mir.pass.nspk.ru/sber/ru/lounges?airportCode=CEK&amp;loungeId=143&amp;package=programm6</x:v>
      </x:c>
      <x:c r="Q99" s="61" t="n">
        <x:v>46231</x:v>
      </x:c>
    </x:row>
    <x:row r="100">
      <x:c r="A100" s="57" t="n">
        <x:v>99</x:v>
      </x:c>
      <x:c r="B100" s="58" t="str">
        <x:v>Челябинск</x:v>
      </x:c>
      <x:c r="C100" s="57" t="str">
        <x:v>CEK</x:v>
      </x:c>
      <x:c r="D100" s="59" t="str">
        <x:v>Баландино</x:v>
      </x:c>
      <x:c r="E100" s="58" t="str">
        <x:v>Аэропорт</x:v>
      </x:c>
      <x:c r="F100" s="59" t="str">
        <x:v>Бизнес-зал МВЛ</x:v>
      </x:c>
      <x:c r="G100" s="57" t="str">
        <x:v>—</x:v>
      </x:c>
      <x:c r="H100" s="57" t="str">
        <x:v>2</x:v>
      </x:c>
      <x:c r="I100" s="57" t="str">
        <x:v>Внутренний</x:v>
      </x:c>
      <x:c r="J100" s="57" t="str">
        <x:v>ON·PASS</x:v>
      </x:c>
      <x:c r="K100" s="59" t="str">
        <x:v>Круглосуточно</x:v>
      </x:c>
      <x:c r="L100" s="59" t="str">
        <x:v>Бизнес-зал МВЛ расположен на 2-м этаже, после паспортного контроля. Только для пассажиров международных рейсов.</x:v>
      </x:c>
      <x:c r="M100" s="57" t="str">
        <x:v>2 и 3</x:v>
      </x:c>
      <x:c r="N100" s="57" t="str">
        <x:v>Открыт</x:v>
      </x:c>
      <x:c r="O100" s="57" t="n">
        <x:v>142</x:v>
      </x:c>
      <x:c r="P100" s="60" t="str">
        <x:v>https://mir.pass.nspk.ru/sber/ru/lounges?airportCode=CEK&amp;loungeId=142&amp;package=programm6</x:v>
      </x:c>
      <x:c r="Q100" s="61" t="n">
        <x:v>46231</x:v>
      </x:c>
    </x:row>
    <x:row r="101">
      <x:c r="A101" s="57" t="n">
        <x:v>100</x:v>
      </x:c>
      <x:c r="B101" s="58" t="str">
        <x:v>Чита</x:v>
      </x:c>
      <x:c r="C101" s="57" t="str">
        <x:v>HTA</x:v>
      </x:c>
      <x:c r="D101" s="59" t="str">
        <x:v>Кадала</x:v>
      </x:c>
      <x:c r="E101" s="58" t="str">
        <x:v>Аэропорт</x:v>
      </x:c>
      <x:c r="F101" s="59" t="str">
        <x:v>Бизнес-зал</x:v>
      </x:c>
      <x:c r="G101" s="57" t="str">
        <x:v>—</x:v>
      </x:c>
      <x:c r="H101" s="57" t="str">
        <x:v>2</x:v>
      </x:c>
      <x:c r="I101" s="57" t="str">
        <x:v>Внутренний</x:v>
      </x:c>
      <x:c r="J101" s="57" t="str">
        <x:v>ON·PASS</x:v>
      </x:c>
      <x:c r="K101" s="59" t="str">
        <x:v>Ежедневно с 06:00 до 12:00  после 12:00 (по заявкам) местное время (по регламенту работы аэропорта)</x:v>
      </x:c>
      <x:c r="L101" s="59" t="str">
        <x:v>Бизнес-зал расположен в правом крыле на втором этаже аэровокзала внутренних воздушных линий</x:v>
      </x:c>
      <x:c r="M101" s="57" t="str">
        <x:v>2 и 3</x:v>
      </x:c>
      <x:c r="N101" s="57" t="str">
        <x:v>Открыт</x:v>
      </x:c>
      <x:c r="O101" s="57" t="n">
        <x:v>133</x:v>
      </x:c>
      <x:c r="P101" s="60" t="str">
        <x:v>https://mir.pass.nspk.ru/sber/ru/lounges?airportCode=HTA&amp;loungeId=133&amp;package=programm6</x:v>
      </x:c>
      <x:c r="Q101" s="61" t="n">
        <x:v>46231</x:v>
      </x:c>
    </x:row>
    <x:row r="102">
      <x:c r="A102" s="57" t="n">
        <x:v>101</x:v>
      </x:c>
      <x:c r="B102" s="58" t="str">
        <x:v>Южно-Сахалинск</x:v>
      </x:c>
      <x:c r="C102" s="57" t="str">
        <x:v>UUS</x:v>
      </x:c>
      <x:c r="D102" s="59" t="str">
        <x:v>Южно-Сахалинск</x:v>
      </x:c>
      <x:c r="E102" s="58" t="str">
        <x:v>Аэропорт</x:v>
      </x:c>
      <x:c r="F102" s="59" t="str">
        <x:v>Бизнес-зал</x:v>
      </x:c>
      <x:c r="G102" s="57" t="str">
        <x:v>—</x:v>
      </x:c>
      <x:c r="H102" s="57" t="str">
        <x:v>1</x:v>
      </x:c>
      <x:c r="I102" s="57" t="str">
        <x:v>Внутренний</x:v>
      </x:c>
      <x:c r="J102" s="57" t="str">
        <x:v>ON·PASS</x:v>
      </x:c>
      <x:c r="K102" s="59" t="str">
        <x:v>6:00-23:00</x:v>
      </x:c>
      <x:c r="L102" s="59" t="str">
        <x:v>Зона после паспортного контроля. Бизнес-зал расположен на 1-м этаже в международном секторе. Только для пассажиров внутренних авиалиний.</x:v>
      </x:c>
      <x:c r="M102" s="57" t="str">
        <x:v>2 и 3</x:v>
      </x:c>
      <x:c r="N102" s="57" t="str">
        <x:v>Временно закрыт</x:v>
      </x:c>
      <x:c r="O102" s="57" t="n">
        <x:v>109</x:v>
      </x:c>
      <x:c r="P102" s="60" t="str">
        <x:v>https://mir.pass.nspk.ru/sber/ru/lounges?airportCode=UUS&amp;loungeId=109&amp;package=programm6</x:v>
      </x:c>
      <x:c r="Q102" s="61" t="n">
        <x:v>46231</x:v>
      </x:c>
    </x:row>
    <x:row r="103">
      <x:c r="A103" s="57" t="n">
        <x:v>102</x:v>
      </x:c>
      <x:c r="B103" s="58" t="str">
        <x:v>Якутск</x:v>
      </x:c>
      <x:c r="C103" s="57" t="str">
        <x:v>YKS</x:v>
      </x:c>
      <x:c r="D103" s="59" t="str">
        <x:v>Якутск</x:v>
      </x:c>
      <x:c r="E103" s="58" t="str">
        <x:v>Аэропорт</x:v>
      </x:c>
      <x:c r="F103" s="59" t="str">
        <x:v>Зал повышенной комфортности</x:v>
      </x:c>
      <x:c r="G103" s="57" t="str">
        <x:v>—</x:v>
      </x:c>
      <x:c r="H103" s="57" t="str">
        <x:v>2</x:v>
      </x:c>
      <x:c r="I103" s="57" t="str">
        <x:v>Внутренний</x:v>
      </x:c>
      <x:c r="J103" s="57" t="str">
        <x:v>ON·PASS</x:v>
      </x:c>
      <x:c r="K103" s="59" t="str">
        <x:v>Круглосуточно</x:v>
      </x:c>
      <x:c r="L103" s="59" t="str">
        <x:v>Зона после паспортного контроля. Зал ожидания вылета, 2 этаж</x:v>
      </x:c>
      <x:c r="M103" s="57" t="str">
        <x:v>2 и 3</x:v>
      </x:c>
      <x:c r="N103" s="57" t="str">
        <x:v>Открыт</x:v>
      </x:c>
      <x:c r="O103" s="57" t="n">
        <x:v>275</x:v>
      </x:c>
      <x:c r="P103" s="60" t="str">
        <x:v>https://mir.pass.nspk.ru/sber/ru/lounges?airportCode=YKS&amp;loungeId=275&amp;package=programm6</x:v>
      </x:c>
      <x:c r="Q103" s="61" t="n">
        <x:v>46231</x:v>
      </x:c>
    </x:row>
    <x:row r="104">
      <x:c r="A104" s="62" t="n">
        <x:v>103</x:v>
      </x:c>
      <x:c r="B104" s="63" t="str">
        <x:v>Ярославль</x:v>
      </x:c>
      <x:c r="C104" s="62" t="str">
        <x:v>IAR</x:v>
      </x:c>
      <x:c r="D104" s="64" t="str">
        <x:v>Туношна</x:v>
      </x:c>
      <x:c r="E104" s="63" t="str">
        <x:v>Аэропорт</x:v>
      </x:c>
      <x:c r="F104" s="64" t="str">
        <x:v>Зал повышенной комфортности</x:v>
      </x:c>
      <x:c r="G104" s="62" t="str">
        <x:v>—</x:v>
      </x:c>
      <x:c r="H104" s="62" t="str">
        <x:v>1</x:v>
      </x:c>
      <x:c r="I104" s="62" t="str">
        <x:v>Внутренний</x:v>
      </x:c>
      <x:c r="J104" s="62" t="str">
        <x:v>ON·PASS</x:v>
      </x:c>
      <x:c r="K104" s="64" t="str">
        <x:v>По регламенту аэропорта</x:v>
      </x:c>
      <x:c r="L104" s="64" t="str">
        <x:v>ЗПК расположен на 1-м этаже с левой стороны</x:v>
      </x:c>
      <x:c r="M104" s="62" t="str">
        <x:v>2 и 3</x:v>
      </x:c>
      <x:c r="N104" s="62" t="str">
        <x:v>Открыт</x:v>
      </x:c>
      <x:c r="O104" s="62" t="n">
        <x:v>144</x:v>
      </x:c>
      <x:c r="P104" s="65" t="str">
        <x:v>https://mir.pass.nspk.ru/sber/ru/lounges?airportCode=IAR&amp;loungeId=144&amp;package=programm6</x:v>
      </x:c>
      <x:c r="Q104" s="66" t="n">
        <x:v>46231</x:v>
      </x:c>
    </x:row>
  </x:sheetData>
  <x:conditionalFormatting sqref="N2:N104">
    <x:cfRule type="containsText" dxfId="0" priority="1" operator="containsText" text="Временно закрыт"/>
    <x:cfRule type="containsText" dxfId="1" priority="2" operator="containsText" text="Открыт"/>
  </x:conditionalFormatting>
  <x:pageMargins left="0.7" right="0.7" top="0.75" bottom="0.75" header="0.3" footer="0.3"/>
  <x:tableParts count="1">
    <x:tablePart xmlns:r="http://schemas.openxmlformats.org/officeDocument/2006/relationships" r:id="Raa1f0a0b1e6b4196"/>
  </x:tableParts>
</x:worksheet>
</file>